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A264924-9148-46F1-80DB-2CFF4291E7A4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tart_Here" sheetId="1" r:id="rId1"/>
    <sheet name="Company_Context" sheetId="2" r:id="rId2"/>
    <sheet name="Cost_Structure" sheetId="3" r:id="rId3"/>
    <sheet name="competitive_analysis" sheetId="9" r:id="rId4"/>
    <sheet name="constraints" sheetId="8" r:id="rId5"/>
    <sheet name="data_historical" sheetId="10" r:id="rId6"/>
    <sheet name="montecarlo" sheetId="11" r:id="rId7"/>
    <sheet name="Definitions" sheetId="6" r:id="rId8"/>
    <sheet name="Dashboard" sheetId="7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7" i="10" l="1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C16" i="3"/>
  <c r="E59" i="3"/>
  <c r="E60" i="3"/>
  <c r="E58" i="3"/>
  <c r="E57" i="3"/>
  <c r="D50" i="3"/>
  <c r="D51" i="3"/>
  <c r="D52" i="3"/>
  <c r="D53" i="3"/>
  <c r="D49" i="3"/>
  <c r="F10" i="2"/>
  <c r="H8" i="7"/>
  <c r="F8" i="7"/>
  <c r="B8" i="7"/>
  <c r="H7" i="7"/>
  <c r="F6" i="7"/>
  <c r="H5" i="7"/>
  <c r="D5" i="7"/>
  <c r="B5" i="7"/>
  <c r="F4" i="7"/>
  <c r="D4" i="7"/>
  <c r="B4" i="7"/>
  <c r="F7" i="7"/>
  <c r="B19" i="2"/>
  <c r="B20" i="2" s="1"/>
  <c r="B22" i="2" s="1"/>
  <c r="F5" i="7" s="1"/>
  <c r="H9" i="2"/>
  <c r="F9" i="2"/>
  <c r="H6" i="2"/>
  <c r="H5" i="2"/>
  <c r="D8" i="7" l="1"/>
  <c r="E61" i="3"/>
  <c r="C12" i="3" s="1"/>
  <c r="C18" i="3" s="1"/>
  <c r="D54" i="3"/>
  <c r="C24" i="3" s="1"/>
  <c r="C30" i="3" s="1"/>
  <c r="B7" i="3" s="1"/>
  <c r="C19" i="3" l="1"/>
  <c r="B36" i="3"/>
  <c r="B40" i="3" s="1"/>
  <c r="B6" i="7"/>
  <c r="D6" i="7"/>
  <c r="B37" i="3"/>
  <c r="C31" i="3"/>
  <c r="B38" i="3" s="1"/>
  <c r="B39" i="3" l="1"/>
  <c r="B7" i="7" s="1"/>
  <c r="H4" i="7"/>
  <c r="B41" i="3"/>
  <c r="H6" i="7" s="1"/>
  <c r="D7" i="7"/>
  <c r="B8" i="3" l="1"/>
</calcChain>
</file>

<file path=xl/sharedStrings.xml><?xml version="1.0" encoding="utf-8"?>
<sst xmlns="http://schemas.openxmlformats.org/spreadsheetml/2006/main" count="593" uniqueCount="454">
  <si>
    <t>PRICING INTELLIGENCE — INITIAL DATA WORKBOOK</t>
  </si>
  <si>
    <t>Purpose</t>
  </si>
  <si>
    <t>Capture company context, economics, operating constraints and historical price-demand data for the pricing engine.</t>
  </si>
  <si>
    <t>Default period</t>
  </si>
  <si>
    <t>Monthly is the default for most businesses. Use the same period for cost planning, target volume and fixed costs.</t>
  </si>
  <si>
    <t>Next step</t>
  </si>
  <si>
    <t>Step 2 will validate the historical data and run EDA before demand forecasting, elasticity and causal estimation.</t>
  </si>
  <si>
    <t>Important</t>
  </si>
  <si>
    <t>Do not guess elasticity or willingness-to-pay here. Estimate them later or use documented external priors.</t>
  </si>
  <si>
    <t>Packaging</t>
  </si>
  <si>
    <t>Packaging that scales with units is normally variable cost. Keep it separate so its economics are visible.</t>
  </si>
  <si>
    <t>Labour</t>
  </si>
  <si>
    <t>Permanent salaries are generally fixed. Piece-rate/output labour is variable. Overtime/extra shifts can be step or semi-variable.</t>
  </si>
  <si>
    <t>Historical minimum</t>
  </si>
  <si>
    <t>Date + product + price + quantity. Revenue, competitor price, promotion, inventory, location and channel materially improve the model.</t>
  </si>
  <si>
    <t>Tabs</t>
  </si>
  <si>
    <t>Company_Context | Cost_Structure | Constraints | Historical_Data | Definitions | Dashboard</t>
  </si>
  <si>
    <t>01 — COMPANY &amp; PRODUCT CONTEXT</t>
  </si>
  <si>
    <t>Company &amp; Product</t>
  </si>
  <si>
    <t>Market Position &amp; Price Leader</t>
  </si>
  <si>
    <t>Field</t>
  </si>
  <si>
    <t>Input</t>
  </si>
  <si>
    <t>Guidance</t>
  </si>
  <si>
    <t>Derived / Guidance</t>
  </si>
  <si>
    <t>Status</t>
  </si>
  <si>
    <t>Company name</t>
  </si>
  <si>
    <t>Legal or operating brand name</t>
  </si>
  <si>
    <t>Price leader?</t>
  </si>
  <si>
    <t>Yes</t>
  </si>
  <si>
    <t>If No, enter leader below</t>
  </si>
  <si>
    <t>Business category</t>
  </si>
  <si>
    <t>e.g. Packaged Food, Chemicals, SaaS</t>
  </si>
  <si>
    <t>Price leader / competitor</t>
  </si>
  <si>
    <t>Named reference competitor</t>
  </si>
  <si>
    <t>Product name</t>
  </si>
  <si>
    <t>Primary product being priced</t>
  </si>
  <si>
    <t>Leader current base price</t>
  </si>
  <si>
    <t>Before tax/discount</t>
  </si>
  <si>
    <t>Product type</t>
  </si>
  <si>
    <t>FMCG, B2B service, software, industrial product, etc.</t>
  </si>
  <si>
    <t>Our current base price</t>
  </si>
  <si>
    <t>Market / country</t>
  </si>
  <si>
    <t>India</t>
  </si>
  <si>
    <t>Primary market</t>
  </si>
  <si>
    <t>Price gap</t>
  </si>
  <si>
    <t>Our price − leader price</t>
  </si>
  <si>
    <t>Primary channel</t>
  </si>
  <si>
    <t>Both</t>
  </si>
  <si>
    <t>Online / Offline / Both</t>
  </si>
  <si>
    <t>Relative price</t>
  </si>
  <si>
    <t>Our price ÷ leader price</t>
  </si>
  <si>
    <t>Monthly</t>
  </si>
  <si>
    <t>Positioning note</t>
  </si>
  <si>
    <t>Premium / parity / value / unknown</t>
  </si>
  <si>
    <t>Current Price &amp; Tax</t>
  </si>
  <si>
    <t>Current base price</t>
  </si>
  <si>
    <t>Price before GST/tax</t>
  </si>
  <si>
    <t>GST / tax rate</t>
  </si>
  <si>
    <t>Applicable rate</t>
  </si>
  <si>
    <t>Current discount</t>
  </si>
  <si>
    <t>Optional current discount</t>
  </si>
  <si>
    <t>Tax amount / unit</t>
  </si>
  <si>
    <t>Calculated</t>
  </si>
  <si>
    <t>Price after tax</t>
  </si>
  <si>
    <t>Calculated before discount</t>
  </si>
  <si>
    <t>Effective customer price</t>
  </si>
  <si>
    <t>After tax and current discount</t>
  </si>
  <si>
    <t>02 — COST STRUCTURE</t>
  </si>
  <si>
    <t>Cost Planning Period</t>
  </si>
  <si>
    <t>Unit</t>
  </si>
  <si>
    <t>Cost period</t>
  </si>
  <si>
    <t>—</t>
  </si>
  <si>
    <t>Same period used for fixed cost + target volume</t>
  </si>
  <si>
    <t>units / period</t>
  </si>
  <si>
    <t>Fixed cost / selected period</t>
  </si>
  <si>
    <t>₹ / period</t>
  </si>
  <si>
    <t>Calculated from fixed-cost section below</t>
  </si>
  <si>
    <t>₹ / unit</t>
  </si>
  <si>
    <t>Optional cost-plus reference, not the final optimized price</t>
  </si>
  <si>
    <t>Variable Costs — normally scale with units</t>
  </si>
  <si>
    <t>Cost type</t>
  </si>
  <si>
    <t>Cost item</t>
  </si>
  <si>
    <t>Included?</t>
  </si>
  <si>
    <t>Examples / guidance</t>
  </si>
  <si>
    <t>Variable</t>
  </si>
  <si>
    <t>Raw material / ingredients</t>
  </si>
  <si>
    <t>Pouch, carton, label, seal, bottle, cap, tray</t>
  </si>
  <si>
    <t>Variable labour</t>
  </si>
  <si>
    <t>Logistics / fulfilment</t>
  </si>
  <si>
    <t>Per-unit freight, delivery or fulfilment</t>
  </si>
  <si>
    <t>Sales / payment fees</t>
  </si>
  <si>
    <t>Optional</t>
  </si>
  <si>
    <t>Any other per-unit cost</t>
  </si>
  <si>
    <t>Total variable cost / unit</t>
  </si>
  <si>
    <t>Contribution at current base price</t>
  </si>
  <si>
    <t>Current base price − variable cost</t>
  </si>
  <si>
    <t>Fixed Costs — generally stable within the selected period</t>
  </si>
  <si>
    <t>₹ / selected period</t>
  </si>
  <si>
    <t>Fixed</t>
  </si>
  <si>
    <t>Rent / facility</t>
  </si>
  <si>
    <t>Factory, warehouse, office rent</t>
  </si>
  <si>
    <t>Permanent salaries</t>
  </si>
  <si>
    <t>Management/admin/production salaries that do not scale directly with units</t>
  </si>
  <si>
    <t>Administrative expenses</t>
  </si>
  <si>
    <t>Office/admin overhead</t>
  </si>
  <si>
    <t>Other fixed costs</t>
  </si>
  <si>
    <t>Other stable operating costs</t>
  </si>
  <si>
    <t>Total fixed cost / period</t>
  </si>
  <si>
    <t>Fixed cost / target unit</t>
  </si>
  <si>
    <t>Cost Reference Outputs</t>
  </si>
  <si>
    <t>Metric</t>
  </si>
  <si>
    <t>Formula output</t>
  </si>
  <si>
    <t>Why it matters</t>
  </si>
  <si>
    <t>Reference</t>
  </si>
  <si>
    <t>Variable cost / unit</t>
  </si>
  <si>
    <t>Economic contribution floor</t>
  </si>
  <si>
    <t>Used in profit optimization</t>
  </si>
  <si>
    <t>Fixed cost / period</t>
  </si>
  <si>
    <t>Period-level operating obligation</t>
  </si>
  <si>
    <t>Keep separate from variable cost</t>
  </si>
  <si>
    <t>Useful for full-cost / break-even analysis</t>
  </si>
  <si>
    <t>Reference only</t>
  </si>
  <si>
    <t>Indicative full cost / unit</t>
  </si>
  <si>
    <t>Variable + allocated fixed cost</t>
  </si>
  <si>
    <t>Cost-plus benchmark, not final optimized price</t>
  </si>
  <si>
    <t>Current contribution / unit</t>
  </si>
  <si>
    <t>Base price − variable cost</t>
  </si>
  <si>
    <t>Margin analysis</t>
  </si>
  <si>
    <t>Break-even volume</t>
  </si>
  <si>
    <t>Constraint</t>
  </si>
  <si>
    <t>Minimum production</t>
  </si>
  <si>
    <t>Maximum production</t>
  </si>
  <si>
    <t>Supplier MOQ</t>
  </si>
  <si>
    <t>No</t>
  </si>
  <si>
    <t>%</t>
  </si>
  <si>
    <t>Notes</t>
  </si>
  <si>
    <t>05 — DEFINITIONS FOR NON-ECONICS USERS</t>
  </si>
  <si>
    <t>Term</t>
  </si>
  <si>
    <t>Simple definition</t>
  </si>
  <si>
    <t>Examples</t>
  </si>
  <si>
    <t>Use in pricing model</t>
  </si>
  <si>
    <t>Usually entered as</t>
  </si>
  <si>
    <t>Fixed cost</t>
  </si>
  <si>
    <t>Generally stable with unit volume within the selected operating range and period.</t>
  </si>
  <si>
    <t>Rent, permanent salaries, insurance, depreciation</t>
  </si>
  <si>
    <t>Period-level cost; used in break-even and profit optimization</t>
  </si>
  <si>
    <t>Can become step/mixed at capacity thresholds.</t>
  </si>
  <si>
    <t>Variable cost</t>
  </si>
  <si>
    <t>Generally changes with units produced or sold.</t>
  </si>
  <si>
    <t>Raw material, packaging, per-unit logistics, marketplace fee</t>
  </si>
  <si>
    <t>Cost per unit / function of quantity</t>
  </si>
  <si>
    <t>Packaging is usually variable when one package is needed per unit.</t>
  </si>
  <si>
    <t>Packaging cost</t>
  </si>
  <si>
    <t>Physical packaging and consumables.</t>
  </si>
  <si>
    <t>Variable cost per unit</t>
  </si>
  <si>
    <t>Separate it for transparency and optimization.</t>
  </si>
  <si>
    <t>Fixed labour</t>
  </si>
  <si>
    <t>Labour cost not directly scaling with units in the relevant range.</t>
  </si>
  <si>
    <t>Plant manager salary, permanent admin salary</t>
  </si>
  <si>
    <t>May become semi-variable with overtime or extra shifts.</t>
  </si>
  <si>
    <t>Labour paid in proportion to output or directly productive hours.</t>
  </si>
  <si>
    <t>Piece-rate workers, output-linked packing labour</t>
  </si>
  <si>
    <t>Variable cost / unit or function of Q</t>
  </si>
  <si>
    <t>Useful for operations-aware pricing.</t>
  </si>
  <si>
    <t>Step / semi-variable cost</t>
  </si>
  <si>
    <t>Cost changes in jumps after a threshold.</t>
  </si>
  <si>
    <t>Overtime, second shift, extra warehouse</t>
  </si>
  <si>
    <t>Piecewise cost function</t>
  </si>
  <si>
    <t>Rule / amount</t>
  </si>
  <si>
    <t>Keep separate where a simple fixed/variable classification is misleading.</t>
  </si>
  <si>
    <t>Target volume / period</t>
  </si>
  <si>
    <t>Expected saleable units during the selected planning/cost period.</t>
  </si>
  <si>
    <t>10,000 units/month</t>
  </si>
  <si>
    <t>Fixed-cost allocation and break-even analysis</t>
  </si>
  <si>
    <t>Planning assumption; not the final demand forecast.</t>
  </si>
  <si>
    <t>Lowest feasible or contracted volume in a period.</t>
  </si>
  <si>
    <t>1,000 units/month</t>
  </si>
  <si>
    <t>Hard optimization constraint</t>
  </si>
  <si>
    <t>Use only if operationally/contractually real.</t>
  </si>
  <si>
    <t>Physical/operational output ceiling in a period.</t>
  </si>
  <si>
    <t>Can come from equipment, labour or storage.</t>
  </si>
  <si>
    <t>GST / tax</t>
  </si>
  <si>
    <t>Tax rate applied to the relevant tax base.</t>
  </si>
  <si>
    <t>5%, 12%, 18%</t>
  </si>
  <si>
    <t>Separates base price from customer-facing price</t>
  </si>
  <si>
    <t>Actual applicability must be validated for the product/jurisdiction.</t>
  </si>
  <si>
    <t>Price leader</t>
  </si>
  <si>
    <t>Competitor whose pricing provides an important market reference.</t>
  </si>
  <si>
    <t>Largest brand in a category</t>
  </si>
  <si>
    <t>Relative price / competitive response features</t>
  </si>
  <si>
    <t>Name + price</t>
  </si>
  <si>
    <t>Leadership is a market fact, not automatically a pricing target.</t>
  </si>
  <si>
    <t>Price elasticity</t>
  </si>
  <si>
    <t>Approximate % change in demand from a 1% price change.</t>
  </si>
  <si>
    <t>Elasticity = -1.5</t>
  </si>
  <si>
    <t>Demand response estimation</t>
  </si>
  <si>
    <t>Estimated later</t>
  </si>
  <si>
    <t>Use company evidence first; external values are priors/sanity checks.</t>
  </si>
  <si>
    <t>PRICING CONTEXT — LIVE SUMMARY</t>
  </si>
  <si>
    <t>Value</t>
  </si>
  <si>
    <t>Company</t>
  </si>
  <si>
    <t>Product</t>
  </si>
  <si>
    <t>Period</t>
  </si>
  <si>
    <t>Readiness</t>
  </si>
  <si>
    <t>GST %</t>
  </si>
  <si>
    <t>Customer price</t>
  </si>
  <si>
    <t>Leader</t>
  </si>
  <si>
    <t>Target volume</t>
  </si>
  <si>
    <t>Full cost / unit</t>
  </si>
  <si>
    <t>Contribution / unit</t>
  </si>
  <si>
    <t>Effective max capacity</t>
  </si>
  <si>
    <t>Min margin</t>
  </si>
  <si>
    <t>Min production</t>
  </si>
  <si>
    <t>Max production</t>
  </si>
  <si>
    <t>Max price vs leader</t>
  </si>
  <si>
    <t>How the workbook feeds the pricing engine</t>
  </si>
  <si>
    <t>Stage</t>
  </si>
  <si>
    <t>Uses this workbook</t>
  </si>
  <si>
    <t>Output</t>
  </si>
  <si>
    <t>1. Context</t>
  </si>
  <si>
    <t>Company + product + leader + tax</t>
  </si>
  <si>
    <t>Structured pricing profile</t>
  </si>
  <si>
    <t>Validate data</t>
  </si>
  <si>
    <t>2. Cost</t>
  </si>
  <si>
    <t>Variable + fixed + packaging + labour</t>
  </si>
  <si>
    <t>Cost function + break-even</t>
  </si>
  <si>
    <t>Constrain optimization</t>
  </si>
  <si>
    <t>3. Demand</t>
  </si>
  <si>
    <t>Historical price + quantity + context</t>
  </si>
  <si>
    <t>Forecast + demand response</t>
  </si>
  <si>
    <t>Elasticity / causal models</t>
  </si>
  <si>
    <t>4. Competition</t>
  </si>
  <si>
    <t>Leader / competitor prices</t>
  </si>
  <si>
    <t>Relative price + leader gap</t>
  </si>
  <si>
    <t>Competitive constraints</t>
  </si>
  <si>
    <t>5. Optimization</t>
  </si>
  <si>
    <t>Demand + cost + constraints</t>
  </si>
  <si>
    <t>Candidate price set</t>
  </si>
  <si>
    <t>Sensitivity + Monte Carlo</t>
  </si>
  <si>
    <t>6. Explanation</t>
  </si>
  <si>
    <t>Model outputs + context</t>
  </si>
  <si>
    <t>Human-readable explanation</t>
  </si>
  <si>
    <t>Human review / decision</t>
  </si>
  <si>
    <t>bishanlal babulal</t>
  </si>
  <si>
    <t>food</t>
  </si>
  <si>
    <t>1kg bikaneri bhujia</t>
  </si>
  <si>
    <t>fmcg</t>
  </si>
  <si>
    <t>bikaji</t>
  </si>
  <si>
    <t>premium</t>
  </si>
  <si>
    <t>primary region</t>
  </si>
  <si>
    <t>overall region</t>
  </si>
  <si>
    <t>rajasthan particulary bikaner</t>
  </si>
  <si>
    <t xml:space="preserve">india </t>
  </si>
  <si>
    <t>retailer commission</t>
  </si>
  <si>
    <t xml:space="preserve">assuming : taking an avg as talk with other retailers </t>
  </si>
  <si>
    <t>no(rank 6)</t>
  </si>
  <si>
    <t>Current base price(before tax)</t>
  </si>
  <si>
    <t>salaries breakdown</t>
  </si>
  <si>
    <t>role</t>
  </si>
  <si>
    <t>salaries</t>
  </si>
  <si>
    <t>C.A</t>
  </si>
  <si>
    <t>accountent</t>
  </si>
  <si>
    <t>no.</t>
  </si>
  <si>
    <t>final cost</t>
  </si>
  <si>
    <t>workers</t>
  </si>
  <si>
    <t>sales man</t>
  </si>
  <si>
    <t xml:space="preserve"> karigar</t>
  </si>
  <si>
    <t>total cost</t>
  </si>
  <si>
    <t>electricity</t>
  </si>
  <si>
    <t>Inputs consumed per unit(mainly in oil)</t>
  </si>
  <si>
    <t>current volume production</t>
  </si>
  <si>
    <t xml:space="preserve"> saleable volume for planning/allocation</t>
  </si>
  <si>
    <t>current profit / unit</t>
  </si>
  <si>
    <t xml:space="preserve">profit per box </t>
  </si>
  <si>
    <t>assumption</t>
  </si>
  <si>
    <t>karigar</t>
  </si>
  <si>
    <t>Commission, marketplace fee, payment fee of the sales man, distributors</t>
  </si>
  <si>
    <t>output-linked labour</t>
  </si>
  <si>
    <t>yes</t>
  </si>
  <si>
    <t>fixed</t>
  </si>
  <si>
    <t>marketing promotion</t>
  </si>
  <si>
    <t>instagram , banners ads</t>
  </si>
  <si>
    <t>Total fixed cost ÷  volume</t>
  </si>
  <si>
    <t xml:space="preserve">returns/ damaged </t>
  </si>
  <si>
    <t>usually not very much around 10 boxes per month 10 damaged total 20</t>
  </si>
  <si>
    <t>raw material cost</t>
  </si>
  <si>
    <t>Quantity Needed</t>
  </si>
  <si>
    <t>Moth Dal Flour</t>
  </si>
  <si>
    <t>Gram Flour (Besan)</t>
  </si>
  <si>
    <t>~30 g</t>
  </si>
  <si>
    <t>Total Raw Material Cost</t>
  </si>
  <si>
    <t>1,000 g</t>
  </si>
  <si>
    <t>material</t>
  </si>
  <si>
    <t>share</t>
  </si>
  <si>
    <t>calcuated cost/unit</t>
  </si>
  <si>
    <t>Bulk Rate Assumed/kg</t>
  </si>
  <si>
    <t>Refined Cottonseed Oil(aborsorbed)</t>
  </si>
  <si>
    <t>Spices &amp; Condiments(low quantity)</t>
  </si>
  <si>
    <t>350g</t>
  </si>
  <si>
    <t>115g</t>
  </si>
  <si>
    <t>505g</t>
  </si>
  <si>
    <t>cost of electricty</t>
  </si>
  <si>
    <t>cost of the electricity(excluding the frying )</t>
  </si>
  <si>
    <t>range of the raw materials</t>
  </si>
  <si>
    <t>price</t>
  </si>
  <si>
    <t>70-110</t>
  </si>
  <si>
    <t>60-80</t>
  </si>
  <si>
    <t>100-120</t>
  </si>
  <si>
    <t>350-450</t>
  </si>
  <si>
    <t xml:space="preserve">unit sold </t>
  </si>
  <si>
    <t>unit/period</t>
  </si>
  <si>
    <t>shelf life</t>
  </si>
  <si>
    <t>Basis</t>
  </si>
  <si>
    <t>Other variable cost (excl. retailer margin)</t>
  </si>
  <si>
    <t>Total variable cost minus retailer margin</t>
  </si>
  <si>
    <t>Retailer margin</t>
  </si>
  <si>
    <t>% of price</t>
  </si>
  <si>
    <t>Scales with price, not a flat ₹27</t>
  </si>
  <si>
    <t>Zero-contribution price (safety stop)</t>
  </si>
  <si>
    <t>₹ pre-tax</t>
  </si>
  <si>
    <t>Other variable cost ÷ (1 − margin)</t>
  </si>
  <si>
    <t>Full-cost break-even price (reference)</t>
  </si>
  <si>
    <t>Covers variable and fixed cost at current volume</t>
  </si>
  <si>
    <t>MRP, shelf</t>
  </si>
  <si>
    <t>₹ shelf</t>
  </si>
  <si>
    <t>Legal cap</t>
  </si>
  <si>
    <t>MRP, pre-tax equivalent (price ceiling)</t>
  </si>
  <si>
    <t>MRP ÷ (1 + GST)</t>
  </si>
  <si>
    <t>Step-limit low</t>
  </si>
  <si>
    <t>Current price less max decrease</t>
  </si>
  <si>
    <t>Step-limit high</t>
  </si>
  <si>
    <t>Current price plus max increase</t>
  </si>
  <si>
    <t>Price review cadence</t>
  </si>
  <si>
    <t>Governance</t>
  </si>
  <si>
    <t>Legal / tax</t>
  </si>
  <si>
    <t>GST 5%; price must not exceed printed MRP</t>
  </si>
  <si>
    <t>Verify rate against current CBIC schedule</t>
  </si>
  <si>
    <t>max-limit MRP</t>
  </si>
  <si>
    <t>min-limit MRP</t>
  </si>
  <si>
    <t>post tax</t>
  </si>
  <si>
    <t>current price plus gst</t>
  </si>
  <si>
    <t>max price + gst</t>
  </si>
  <si>
    <t>max volume</t>
  </si>
  <si>
    <t>min volume</t>
  </si>
  <si>
    <t>minimum profit</t>
  </si>
  <si>
    <t>max profit based on max volume</t>
  </si>
  <si>
    <t>6 months</t>
  </si>
  <si>
    <t>price -bandwidth</t>
  </si>
  <si>
    <t>265-288</t>
  </si>
  <si>
    <t>Competitive data: 1 kg packs, shelf price (MRP = selling price)</t>
  </si>
  <si>
    <t>Blue = input. Perception, quality and taste scores are ASSUMPTIONS from the owner's experience (no survey, no sample); treat results as a diagnostic, not evidence.</t>
  </si>
  <si>
    <t>Brand</t>
  </si>
  <si>
    <t>Role</t>
  </si>
  <si>
    <t>Bikaji</t>
  </si>
  <si>
    <t>Haldiram</t>
  </si>
  <si>
    <t>Competitor</t>
  </si>
  <si>
    <t>Bikano</t>
  </si>
  <si>
    <t>Bhikaram Chandmal</t>
  </si>
  <si>
    <t>Competitor (local)</t>
  </si>
  <si>
    <t>Bishanlal Babulal</t>
  </si>
  <si>
    <t>Our brand</t>
  </si>
  <si>
    <t>Composite = simple average of perception, quality and taste (equal weights are an assumption).</t>
  </si>
  <si>
    <t>Fit-line helper (competitors only)</t>
  </si>
  <si>
    <t>Benefit (x)</t>
  </si>
  <si>
    <t>Left end</t>
  </si>
  <si>
    <t>Right end</t>
  </si>
  <si>
    <t>Candidate prices vs the market</t>
  </si>
  <si>
    <t>Shelf price (₹)</t>
  </si>
  <si>
    <t>Gap vs leader (₹)</t>
  </si>
  <si>
    <t>Pack (kg)</t>
  </si>
  <si>
    <t>Perception (0-10)</t>
  </si>
  <si>
    <t>Quality (0-10)</t>
  </si>
  <si>
    <t>Taste (0-10)</t>
  </si>
  <si>
    <t>Composite benefit</t>
  </si>
  <si>
    <t>Price per kg (₹)</t>
  </si>
  <si>
    <t>Gap vs ours (₹)</t>
  </si>
  <si>
    <t>Relative to leader</t>
  </si>
  <si>
    <t>Price per benefit point (₹)</t>
  </si>
  <si>
    <t>Fair price (y)</t>
  </si>
  <si>
    <t>Relative to competitor avg</t>
  </si>
  <si>
    <t>Cheaper competitors (of 4)</t>
  </si>
  <si>
    <t>Within leader cap</t>
  </si>
  <si>
    <t>Feasibility result</t>
  </si>
  <si>
    <t>Breaks step limit</t>
  </si>
  <si>
    <t>Feasible</t>
  </si>
  <si>
    <t>Needs new MRP</t>
  </si>
  <si>
    <t>week_start</t>
  </si>
  <si>
    <t>shelf_price</t>
  </si>
  <si>
    <t>leader_price</t>
  </si>
  <si>
    <t>other_comp_avg_price</t>
  </si>
  <si>
    <t>festival</t>
  </si>
  <si>
    <t>oil_price_per_kg</t>
  </si>
  <si>
    <t>other_variable_cost</t>
  </si>
  <si>
    <t>price_change</t>
  </si>
  <si>
    <t>units_sold</t>
  </si>
  <si>
    <t>distribution</t>
  </si>
  <si>
    <t>promotion</t>
  </si>
  <si>
    <t>log price</t>
  </si>
  <si>
    <t>log_leader_price</t>
  </si>
  <si>
    <t>other_comp</t>
  </si>
  <si>
    <t>log_units_sold</t>
  </si>
  <si>
    <t>festival_peak</t>
  </si>
  <si>
    <t>festival_buildup</t>
  </si>
  <si>
    <t>units_sold_old</t>
  </si>
  <si>
    <t>log_distribution</t>
  </si>
  <si>
    <t>log_promotion</t>
  </si>
  <si>
    <t>Diwali (build-up)</t>
  </si>
  <si>
    <t>Diwali (peak week)</t>
  </si>
  <si>
    <t>Holi (build-up)</t>
  </si>
  <si>
    <t>Holi (peak week)</t>
  </si>
  <si>
    <t>Regular increase</t>
  </si>
  <si>
    <t>Raksha Bandhan (build-up)</t>
  </si>
  <si>
    <t>Raksha Bandhan (peak week)</t>
  </si>
  <si>
    <t>Oil-shock increase</t>
  </si>
  <si>
    <t xml:space="preserve">                            OLS Regression Results                            </t>
  </si>
  <si>
    <t>==============================================================================</t>
  </si>
  <si>
    <t>Dep. Variable:         log_units_sold   R-squared:                       0.949</t>
  </si>
  <si>
    <t>Model:                            OLS   Adj. R-squared:                  0.947</t>
  </si>
  <si>
    <t>Method:                 Least Squares   F-statistic:                     497.4</t>
  </si>
  <si>
    <t>Date:                Tue, 06 Oct 2026   Prob (F-statistic):           7.35e-96</t>
  </si>
  <si>
    <t>Time:                        17:08:04   Log-Likelihood:                 270.63</t>
  </si>
  <si>
    <t>No. Observations:                 156   AIC:                            -527.3</t>
  </si>
  <si>
    <t>Df Residuals:                     149   BIC:                            -505.9</t>
  </si>
  <si>
    <t xml:space="preserve">Df Model:                           6                                         </t>
  </si>
  <si>
    <t xml:space="preserve">Covariance Type:                  HAC                                         </t>
  </si>
  <si>
    <t>====================================================================================</t>
  </si>
  <si>
    <t xml:space="preserve">                       coef    std err          z      P&gt;|z|      [0.025      0.975]</t>
  </si>
  <si>
    <t>------------------------------------------------------------------------------------</t>
  </si>
  <si>
    <t>const                6.6496      0.411     16.179      0.000       5.844       7.455</t>
  </si>
  <si>
    <t>log price           -1.1163      0.268     -4.165      0.000      -1.642      -0.591</t>
  </si>
  <si>
    <t>log_leader_price     0.1032      0.263      0.393      0.694      -0.411       0.618</t>
  </si>
  <si>
    <t>log_distribution     1.3029      0.171      7.633      0.000       0.968       1.637</t>
  </si>
  <si>
    <t>log_promotion        0.2717      0.044      6.200      0.000       0.186       0.358</t>
  </si>
  <si>
    <t>festival_peak        0.5661      0.022     26.014      0.000       0.523       0.609</t>
  </si>
  <si>
    <t>festival_buildup     0.2516      0.012     20.447      0.000       0.228       0.276</t>
  </si>
  <si>
    <t>Omnibus:                        3.439   Durbin-Watson:                   1.211</t>
  </si>
  <si>
    <t>Prob(Omnibus):                  0.179   Jarque-Bera (JB):                2.915</t>
  </si>
  <si>
    <t>Skew:                           0.233   Prob(JB):                        0.233</t>
  </si>
  <si>
    <t>Kurtosis:                       2.518   Cond. No.                         966.</t>
  </si>
  <si>
    <t>shelf</t>
  </si>
  <si>
    <t>legal</t>
  </si>
  <si>
    <t>pretax_ok</t>
  </si>
  <si>
    <t>E_units</t>
  </si>
  <si>
    <t>E_profit</t>
  </si>
  <si>
    <t>P5</t>
  </si>
  <si>
    <t>P95</t>
  </si>
  <si>
    <t>CVaR5</t>
  </si>
  <si>
    <t>P_minvol</t>
  </si>
  <si>
    <t>P_minprofit</t>
  </si>
  <si>
    <t>P_joint</t>
  </si>
  <si>
    <t>P_over_cap</t>
  </si>
  <si>
    <t>P_over_maxprofit</t>
  </si>
  <si>
    <t>ok</t>
  </si>
  <si>
    <t>needs new 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</si>
</sst>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8" formatCode="&quot;₹&quot;\ #,##0.00;[Red]&quot;₹&quot;\ \-#,##0.00"/>
    <numFmt numFmtId="164" formatCode="\₹#,##0.00"/>
    <numFmt numFmtId="165" formatCode="0.0%"/>
    <numFmt numFmtId="166" formatCode="0.0"/>
    <numFmt numFmtId="167" formatCode="0.00\x"/>
    <numFmt numFmtId="168" formatCode="\₹#,##0.00;&quot;(₹&quot;#,##0.00\);\-"/>
    <numFmt numFmtId="169" formatCode="\₹#,##0;&quot;(₹&quot;#,##0\);\-"/>
  </numFmts>
  <fonts count="1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4C3FD1"/>
      <name val="Carlito"/>
    </font>
    <font>
      <b/>
      <sz val="11"/>
      <color rgb="FFFFFFFF"/>
      <name val="Carlito"/>
    </font>
    <font>
      <sz val="11"/>
      <name val="Carlito"/>
    </font>
    <font>
      <b/>
      <sz val="8"/>
      <name val="Arial"/>
      <family val="2"/>
    </font>
    <font>
      <sz val="8"/>
      <name val="Arial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color rgb="FF008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7191F"/>
      </patternFill>
    </fill>
    <fill>
      <patternFill patternType="solid">
        <fgColor rgb="FFF4F5F8"/>
      </patternFill>
    </fill>
    <fill>
      <patternFill patternType="solid">
        <fgColor rgb="FFEDEAFF"/>
      </patternFill>
    </fill>
    <fill>
      <patternFill patternType="solid">
        <fgColor rgb="FF5D4CF1"/>
      </patternFill>
    </fill>
    <fill>
      <patternFill patternType="solid">
        <fgColor rgb="FFFFFDF5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6384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8" fillId="0" borderId="0"/>
  </cellStyleXfs>
  <cellXfs count="67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5" borderId="0" xfId="0" applyFont="1" applyFill="1" applyAlignment="1">
      <alignment horizontal="center" vertical="center" wrapText="1"/>
    </xf>
    <xf numFmtId="0" fontId="0" fillId="6" borderId="0" xfId="0" applyFill="1" applyAlignment="1">
      <alignment wrapText="1"/>
    </xf>
    <xf numFmtId="164" fontId="0" fillId="6" borderId="0" xfId="0" applyNumberFormat="1" applyFill="1" applyAlignment="1">
      <alignment wrapText="1"/>
    </xf>
    <xf numFmtId="164" fontId="0" fillId="0" borderId="0" xfId="0" applyNumberFormat="1" applyAlignment="1">
      <alignment wrapText="1"/>
    </xf>
    <xf numFmtId="4" fontId="0" fillId="6" borderId="0" xfId="0" applyNumberFormat="1" applyFill="1" applyAlignment="1">
      <alignment wrapText="1"/>
    </xf>
    <xf numFmtId="3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7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9" fontId="0" fillId="6" borderId="0" xfId="1" applyFont="1" applyFill="1" applyAlignment="1">
      <alignment wrapText="1"/>
    </xf>
    <xf numFmtId="0" fontId="0" fillId="6" borderId="0" xfId="0" applyFill="1" applyAlignment="1">
      <alignment horizontal="right" wrapText="1"/>
    </xf>
    <xf numFmtId="164" fontId="0" fillId="6" borderId="0" xfId="0" applyNumberFormat="1" applyFill="1" applyAlignment="1">
      <alignment horizontal="right" wrapText="1"/>
    </xf>
    <xf numFmtId="165" fontId="0" fillId="6" borderId="0" xfId="0" applyNumberFormat="1" applyFill="1" applyAlignment="1">
      <alignment horizontal="right" wrapText="1"/>
    </xf>
    <xf numFmtId="0" fontId="0" fillId="0" borderId="0" xfId="0" applyAlignment="1">
      <alignment horizontal="right" wrapText="1"/>
    </xf>
    <xf numFmtId="0" fontId="2" fillId="0" borderId="0" xfId="0" applyFont="1"/>
    <xf numFmtId="164" fontId="0" fillId="6" borderId="0" xfId="1" applyNumberFormat="1" applyFont="1" applyFill="1" applyAlignment="1">
      <alignment wrapText="1"/>
    </xf>
    <xf numFmtId="4" fontId="0" fillId="6" borderId="0" xfId="0" applyNumberFormat="1" applyFill="1" applyAlignment="1">
      <alignment horizontal="right" wrapText="1"/>
    </xf>
    <xf numFmtId="4" fontId="0" fillId="0" borderId="0" xfId="0" applyNumberFormat="1" applyAlignment="1">
      <alignment horizontal="right" wrapText="1"/>
    </xf>
    <xf numFmtId="4" fontId="0" fillId="0" borderId="0" xfId="0" applyNumberFormat="1"/>
    <xf numFmtId="0" fontId="6" fillId="0" borderId="1" xfId="0" applyFont="1" applyBorder="1" applyAlignment="1">
      <alignment vertical="center" wrapText="1"/>
    </xf>
    <xf numFmtId="10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8" fontId="6" fillId="0" borderId="1" xfId="0" applyNumberFormat="1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9" fontId="6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6" fontId="7" fillId="0" borderId="1" xfId="0" applyNumberFormat="1" applyFont="1" applyBorder="1" applyAlignment="1">
      <alignment vertical="center" wrapText="1"/>
    </xf>
    <xf numFmtId="8" fontId="6" fillId="0" borderId="0" xfId="0" applyNumberFormat="1" applyFont="1" applyAlignment="1">
      <alignment vertical="center" wrapText="1"/>
    </xf>
    <xf numFmtId="0" fontId="11" fillId="7" borderId="2" xfId="2" applyFont="1" applyFill="1" applyBorder="1" applyAlignment="1">
      <alignment vertical="center" wrapText="1"/>
    </xf>
    <xf numFmtId="0" fontId="9" fillId="0" borderId="2" xfId="2" applyFont="1" applyBorder="1" applyAlignment="1">
      <alignment vertical="top" wrapText="1"/>
    </xf>
    <xf numFmtId="168" fontId="9" fillId="0" borderId="2" xfId="2" applyNumberFormat="1" applyFont="1" applyBorder="1" applyAlignment="1">
      <alignment vertical="top" wrapText="1"/>
    </xf>
    <xf numFmtId="165" fontId="9" fillId="0" borderId="2" xfId="2" applyNumberFormat="1" applyFont="1" applyBorder="1" applyAlignment="1">
      <alignment vertical="top" wrapText="1"/>
    </xf>
    <xf numFmtId="0" fontId="9" fillId="0" borderId="2" xfId="2" applyFont="1" applyBorder="1" applyAlignment="1">
      <alignment wrapText="1"/>
    </xf>
    <xf numFmtId="0" fontId="10" fillId="0" borderId="0" xfId="0" applyFont="1"/>
    <xf numFmtId="0" fontId="9" fillId="0" borderId="0" xfId="0" applyFont="1"/>
    <xf numFmtId="0" fontId="11" fillId="7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166" fontId="12" fillId="0" borderId="2" xfId="0" applyNumberFormat="1" applyFont="1" applyBorder="1" applyAlignment="1">
      <alignment vertical="top" wrapText="1"/>
    </xf>
    <xf numFmtId="169" fontId="12" fillId="0" borderId="2" xfId="0" applyNumberFormat="1" applyFont="1" applyBorder="1" applyAlignment="1">
      <alignment vertical="top" wrapText="1"/>
    </xf>
    <xf numFmtId="2" fontId="9" fillId="0" borderId="2" xfId="0" applyNumberFormat="1" applyFont="1" applyBorder="1" applyAlignment="1">
      <alignment vertical="top" wrapText="1"/>
    </xf>
    <xf numFmtId="168" fontId="9" fillId="0" borderId="2" xfId="0" applyNumberFormat="1" applyFont="1" applyBorder="1" applyAlignment="1">
      <alignment vertical="top" wrapText="1"/>
    </xf>
    <xf numFmtId="165" fontId="9" fillId="0" borderId="2" xfId="0" applyNumberFormat="1" applyFont="1" applyBorder="1" applyAlignment="1">
      <alignment vertical="top" wrapText="1"/>
    </xf>
    <xf numFmtId="0" fontId="13" fillId="8" borderId="2" xfId="0" applyFont="1" applyFill="1" applyBorder="1" applyAlignment="1">
      <alignment vertical="top" wrapText="1"/>
    </xf>
    <xf numFmtId="0" fontId="9" fillId="8" borderId="2" xfId="0" applyFont="1" applyFill="1" applyBorder="1" applyAlignment="1">
      <alignment vertical="top" wrapText="1"/>
    </xf>
    <xf numFmtId="166" fontId="12" fillId="8" borderId="2" xfId="0" applyNumberFormat="1" applyFont="1" applyFill="1" applyBorder="1" applyAlignment="1">
      <alignment vertical="top" wrapText="1"/>
    </xf>
    <xf numFmtId="169" fontId="12" fillId="8" borderId="2" xfId="0" applyNumberFormat="1" applyFont="1" applyFill="1" applyBorder="1" applyAlignment="1">
      <alignment vertical="top" wrapText="1"/>
    </xf>
    <xf numFmtId="2" fontId="9" fillId="8" borderId="2" xfId="0" applyNumberFormat="1" applyFont="1" applyFill="1" applyBorder="1" applyAlignment="1">
      <alignment vertical="top" wrapText="1"/>
    </xf>
    <xf numFmtId="168" fontId="9" fillId="8" borderId="2" xfId="0" applyNumberFormat="1" applyFont="1" applyFill="1" applyBorder="1" applyAlignment="1">
      <alignment vertical="top" wrapText="1"/>
    </xf>
    <xf numFmtId="165" fontId="9" fillId="8" borderId="2" xfId="0" applyNumberFormat="1" applyFont="1" applyFill="1" applyBorder="1" applyAlignment="1">
      <alignment vertical="top" wrapText="1"/>
    </xf>
    <xf numFmtId="0" fontId="13" fillId="0" borderId="2" xfId="0" applyFont="1" applyBorder="1" applyAlignment="1">
      <alignment vertical="top" wrapText="1"/>
    </xf>
    <xf numFmtId="169" fontId="9" fillId="0" borderId="2" xfId="0" applyNumberFormat="1" applyFont="1" applyBorder="1" applyAlignment="1">
      <alignment vertical="top" wrapText="1"/>
    </xf>
    <xf numFmtId="0" fontId="13" fillId="0" borderId="0" xfId="0" applyFont="1"/>
    <xf numFmtId="169" fontId="14" fillId="0" borderId="2" xfId="0" applyNumberFormat="1" applyFont="1" applyBorder="1" applyAlignment="1">
      <alignment vertical="top" wrapText="1"/>
    </xf>
    <xf numFmtId="1" fontId="9" fillId="0" borderId="2" xfId="0" applyNumberFormat="1" applyFont="1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14" fontId="0" fillId="0" borderId="0" xfId="0" applyNumberFormat="1"/>
    <xf numFmtId="1" fontId="0" fillId="0" borderId="0" xfId="0" applyNumberFormat="1"/>
    <xf numFmtId="11" fontId="0" fillId="0" borderId="0" xfId="0" applyNumberForma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</cellXfs>
  <cellStyles count="3">
    <cellStyle name="Normal" xfId="0" builtinId="0"/>
    <cellStyle name="Normal 2" xfId="2" xr:uid="{5B9233A0-8A9B-4C08-A47B-28638B3BE14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Price-benefit map (D'Aveni style)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Bikaji</c:v>
          </c:tx>
          <c:spPr>
            <a:ln w="47520">
              <a:noFill/>
            </a:ln>
          </c:spPr>
          <c:marker>
            <c:symbol val="circle"/>
            <c:size val="10"/>
            <c:spPr>
              <a:solidFill>
                <a:srgbClr val="1F77B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'[1]Competitive Data'!$H$5</c:f>
              <c:numCache>
                <c:formatCode>General</c:formatCode>
                <c:ptCount val="1"/>
                <c:pt idx="0">
                  <c:v>8.1666666666666696</c:v>
                </c:pt>
              </c:numCache>
            </c:numRef>
          </c:xVal>
          <c:yVal>
            <c:numRef>
              <c:f>'[1]Competitive Data'!$D$5</c:f>
              <c:numCache>
                <c:formatCode>General</c:formatCode>
                <c:ptCount val="1"/>
                <c:pt idx="0">
                  <c:v>260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56-4762-BC69-E1AF0C24A7D9}"/>
            </c:ext>
          </c:extLst>
        </c:ser>
        <c:ser>
          <c:idx val="1"/>
          <c:order val="1"/>
          <c:tx>
            <c:v>Haldiram</c:v>
          </c:tx>
          <c:spPr>
            <a:ln w="47520">
              <a:noFill/>
            </a:ln>
          </c:spPr>
          <c:marker>
            <c:symbol val="circle"/>
            <c:size val="10"/>
            <c:spPr>
              <a:solidFill>
                <a:srgbClr val="FF7F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'[1]Competitive Data'!$H$6</c:f>
              <c:numCache>
                <c:formatCode>General</c:formatCode>
                <c:ptCount val="1"/>
                <c:pt idx="0">
                  <c:v>7.8333333333333304</c:v>
                </c:pt>
              </c:numCache>
            </c:numRef>
          </c:xVal>
          <c:yVal>
            <c:numRef>
              <c:f>'[1]Competitive Data'!$D$6</c:f>
              <c:numCache>
                <c:formatCode>General</c:formatCode>
                <c:ptCount val="1"/>
                <c:pt idx="0">
                  <c:v>270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56-4762-BC69-E1AF0C24A7D9}"/>
            </c:ext>
          </c:extLst>
        </c:ser>
        <c:ser>
          <c:idx val="2"/>
          <c:order val="2"/>
          <c:tx>
            <c:v>Bikano</c:v>
          </c:tx>
          <c:spPr>
            <a:ln w="47520">
              <a:noFill/>
            </a:ln>
          </c:spPr>
          <c:marker>
            <c:symbol val="circle"/>
            <c:size val="10"/>
            <c:spPr>
              <a:solidFill>
                <a:srgbClr val="2CA02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'[1]Competitive Data'!$H$7</c:f>
              <c:numCache>
                <c:formatCode>General</c:formatCode>
                <c:ptCount val="1"/>
                <c:pt idx="0">
                  <c:v>8.1666666666666696</c:v>
                </c:pt>
              </c:numCache>
            </c:numRef>
          </c:xVal>
          <c:yVal>
            <c:numRef>
              <c:f>'[1]Competitive Data'!$D$7</c:f>
              <c:numCache>
                <c:formatCode>General</c:formatCode>
                <c:ptCount val="1"/>
                <c:pt idx="0">
                  <c:v>280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56-4762-BC69-E1AF0C24A7D9}"/>
            </c:ext>
          </c:extLst>
        </c:ser>
        <c:ser>
          <c:idx val="3"/>
          <c:order val="3"/>
          <c:tx>
            <c:v>Bhikaram Chandmal</c:v>
          </c:tx>
          <c:spPr>
            <a:ln w="47520">
              <a:noFill/>
            </a:ln>
          </c:spPr>
          <c:marker>
            <c:symbol val="circle"/>
            <c:size val="10"/>
            <c:spPr>
              <a:solidFill>
                <a:srgbClr val="9467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'[1]Competitive Data'!$H$8</c:f>
              <c:numCache>
                <c:formatCode>General</c:formatCode>
                <c:ptCount val="1"/>
                <c:pt idx="0">
                  <c:v>8.43333333333333</c:v>
                </c:pt>
              </c:numCache>
            </c:numRef>
          </c:xVal>
          <c:yVal>
            <c:numRef>
              <c:f>'[1]Competitive Data'!$D$8</c:f>
              <c:numCache>
                <c:formatCode>General</c:formatCode>
                <c:ptCount val="1"/>
                <c:pt idx="0">
                  <c:v>250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56-4762-BC69-E1AF0C24A7D9}"/>
            </c:ext>
          </c:extLst>
        </c:ser>
        <c:ser>
          <c:idx val="4"/>
          <c:order val="4"/>
          <c:tx>
            <c:v>Bishanlal Babulal</c:v>
          </c:tx>
          <c:spPr>
            <a:ln w="47520">
              <a:noFill/>
            </a:ln>
          </c:spPr>
          <c:marker>
            <c:symbol val="diamond"/>
            <c:size val="13"/>
            <c:spPr>
              <a:solidFill>
                <a:srgbClr val="D6272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'[1]Competitive Data'!$H$9</c:f>
              <c:numCache>
                <c:formatCode>General</c:formatCode>
                <c:ptCount val="1"/>
                <c:pt idx="0">
                  <c:v>8.6666666666666696</c:v>
                </c:pt>
              </c:numCache>
            </c:numRef>
          </c:xVal>
          <c:yVal>
            <c:numRef>
              <c:f>'[1]Competitive Data'!$D$9</c:f>
              <c:numCache>
                <c:formatCode>General</c:formatCode>
                <c:ptCount val="1"/>
                <c:pt idx="0">
                  <c:v>280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56-4762-BC69-E1AF0C24A7D9}"/>
            </c:ext>
          </c:extLst>
        </c:ser>
        <c:ser>
          <c:idx val="5"/>
          <c:order val="5"/>
          <c:tx>
            <c:v>Fair-price line (competitors only)</c:v>
          </c:tx>
          <c:spPr>
            <a:ln w="1908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'[1]Competitive Data'!$B$13:$B$14</c:f>
              <c:numCache>
                <c:formatCode>General</c:formatCode>
                <c:ptCount val="2"/>
                <c:pt idx="0">
                  <c:v>7.7333333333333298</c:v>
                </c:pt>
                <c:pt idx="1">
                  <c:v>8.7666666666666693</c:v>
                </c:pt>
              </c:numCache>
            </c:numRef>
          </c:xVal>
          <c:yVal>
            <c:numRef>
              <c:f>'[1]Competitive Data'!$C$13:$C$14</c:f>
              <c:numCache>
                <c:formatCode>General</c:formatCode>
                <c:ptCount val="2"/>
                <c:pt idx="0">
                  <c:v>278.03680981595102</c:v>
                </c:pt>
                <c:pt idx="1">
                  <c:v>245.705521472393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E56-4762-BC69-E1AF0C24A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67456"/>
        <c:axId val="54702107"/>
      </c:scatterChart>
      <c:valAx>
        <c:axId val="44367456"/>
        <c:scaling>
          <c:orientation val="minMax"/>
          <c:max val="9"/>
          <c:min val="7.6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Composite benefit (assumed scores)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702107"/>
        <c:crosses val="autoZero"/>
        <c:crossBetween val="midCat"/>
      </c:valAx>
      <c:valAx>
        <c:axId val="54702107"/>
        <c:scaling>
          <c:orientation val="minMax"/>
          <c:max val="290"/>
          <c:min val="24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Shelf price (₹ / 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6745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8</xdr:col>
      <xdr:colOff>513240</xdr:colOff>
      <xdr:row>33</xdr:row>
      <xdr:rowOff>130980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4CCF5F-79E1-4A45-8265-5AD77F56F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bhujia_constraints_sheet%20(1).xlsx" TargetMode="External"/><Relationship Id="rId1" Type="http://schemas.openxmlformats.org/officeDocument/2006/relationships/externalLinkPath" Target="bhujia_constraints_shee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Price Constraints"/>
      <sheetName val="Volume &amp; Business"/>
      <sheetName val="Candidate Prices"/>
      <sheetName val="Open Items"/>
      <sheetName val="Competitive Data"/>
      <sheetName val="Competitive Metrics"/>
      <sheetName val="Price Log"/>
    </sheetNames>
    <sheetDataSet>
      <sheetData sheetId="0"/>
      <sheetData sheetId="1"/>
      <sheetData sheetId="2"/>
      <sheetData sheetId="3"/>
      <sheetData sheetId="4"/>
      <sheetData sheetId="5">
        <row r="5">
          <cell r="D5">
            <v>260</v>
          </cell>
          <cell r="H5">
            <v>8.1666666666666696</v>
          </cell>
        </row>
        <row r="6">
          <cell r="D6">
            <v>270</v>
          </cell>
          <cell r="H6">
            <v>7.8333333333333304</v>
          </cell>
        </row>
        <row r="7">
          <cell r="D7">
            <v>280</v>
          </cell>
          <cell r="H7">
            <v>8.1666666666666696</v>
          </cell>
        </row>
        <row r="8">
          <cell r="D8">
            <v>250</v>
          </cell>
          <cell r="H8">
            <v>8.43333333333333</v>
          </cell>
        </row>
        <row r="9">
          <cell r="D9">
            <v>280</v>
          </cell>
          <cell r="H9">
            <v>8.6666666666666696</v>
          </cell>
        </row>
        <row r="13">
          <cell r="B13">
            <v>7.7333333333333298</v>
          </cell>
          <cell r="C13">
            <v>278.03680981595102</v>
          </cell>
        </row>
        <row r="14">
          <cell r="B14">
            <v>8.7666666666666693</v>
          </cell>
          <cell r="C14">
            <v>245.705521472393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B9" sqref="B9"/>
    </sheetView>
  </sheetViews>
  <sheetFormatPr defaultRowHeight="13.8"/>
  <cols>
    <col min="1" max="1" width="22" customWidth="1"/>
    <col min="2" max="2" width="100" customWidth="1"/>
    <col min="3" max="8" width="3" customWidth="1"/>
  </cols>
  <sheetData>
    <row r="1" spans="1:8" ht="22.35" customHeight="1">
      <c r="A1" s="61" t="s">
        <v>0</v>
      </c>
      <c r="B1" s="62"/>
      <c r="C1" s="62"/>
      <c r="D1" s="62"/>
      <c r="E1" s="62"/>
      <c r="F1" s="62"/>
      <c r="G1" s="62"/>
      <c r="H1" s="62"/>
    </row>
    <row r="3" spans="1:8">
      <c r="A3" s="1" t="s">
        <v>1</v>
      </c>
      <c r="B3" s="2" t="s">
        <v>2</v>
      </c>
    </row>
    <row r="4" spans="1:8">
      <c r="A4" s="1" t="s">
        <v>3</v>
      </c>
      <c r="B4" s="2" t="s">
        <v>4</v>
      </c>
    </row>
    <row r="5" spans="1:8">
      <c r="A5" s="1" t="s">
        <v>5</v>
      </c>
      <c r="B5" s="2" t="s">
        <v>6</v>
      </c>
    </row>
    <row r="6" spans="1:8">
      <c r="A6" s="1" t="s">
        <v>7</v>
      </c>
      <c r="B6" s="2" t="s">
        <v>8</v>
      </c>
    </row>
    <row r="7" spans="1:8">
      <c r="A7" s="1" t="s">
        <v>9</v>
      </c>
      <c r="B7" s="2" t="s">
        <v>10</v>
      </c>
    </row>
    <row r="8" spans="1:8" ht="27.6">
      <c r="A8" s="1" t="s">
        <v>11</v>
      </c>
      <c r="B8" s="2" t="s">
        <v>12</v>
      </c>
    </row>
    <row r="9" spans="1:8" ht="27.6">
      <c r="A9" s="1" t="s">
        <v>13</v>
      </c>
      <c r="B9" s="2" t="s">
        <v>14</v>
      </c>
    </row>
    <row r="10" spans="1:8">
      <c r="A10" s="1" t="s">
        <v>15</v>
      </c>
      <c r="B10" s="2" t="s">
        <v>16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>
      <selection activeCell="B16" sqref="B16"/>
    </sheetView>
  </sheetViews>
  <sheetFormatPr defaultRowHeight="13.8"/>
  <cols>
    <col min="1" max="1" width="25" customWidth="1"/>
    <col min="2" max="2" width="29.3984375" customWidth="1"/>
    <col min="3" max="3" width="52" customWidth="1"/>
    <col min="4" max="4" width="3" customWidth="1"/>
    <col min="5" max="5" width="25" customWidth="1"/>
    <col min="6" max="6" width="24" customWidth="1"/>
    <col min="7" max="7" width="34" customWidth="1"/>
    <col min="8" max="8" width="18" customWidth="1"/>
  </cols>
  <sheetData>
    <row r="1" spans="1:8" ht="22.35" customHeight="1">
      <c r="A1" s="63" t="s">
        <v>17</v>
      </c>
      <c r="B1" s="64"/>
      <c r="C1" s="64"/>
      <c r="D1" s="64"/>
      <c r="E1" s="64"/>
      <c r="F1" s="64"/>
      <c r="G1" s="64"/>
      <c r="H1" s="64"/>
    </row>
    <row r="2" spans="1:8">
      <c r="A2" s="2"/>
      <c r="B2" s="2"/>
      <c r="C2" s="2"/>
      <c r="D2" s="2"/>
      <c r="E2" s="2"/>
      <c r="F2" s="2"/>
      <c r="G2" s="2"/>
      <c r="H2" s="2"/>
    </row>
    <row r="3" spans="1:8" ht="17.55" customHeight="1">
      <c r="A3" s="65" t="s">
        <v>18</v>
      </c>
      <c r="B3" s="64"/>
      <c r="C3" s="64"/>
      <c r="D3" s="64"/>
      <c r="E3" s="65" t="s">
        <v>19</v>
      </c>
      <c r="F3" s="64"/>
      <c r="G3" s="64"/>
      <c r="H3" s="64"/>
    </row>
    <row r="4" spans="1:8">
      <c r="A4" s="3" t="s">
        <v>20</v>
      </c>
      <c r="B4" s="3" t="s">
        <v>21</v>
      </c>
      <c r="C4" s="3" t="s">
        <v>22</v>
      </c>
      <c r="D4" s="2"/>
      <c r="E4" s="3" t="s">
        <v>20</v>
      </c>
      <c r="F4" s="3" t="s">
        <v>21</v>
      </c>
      <c r="G4" s="3" t="s">
        <v>23</v>
      </c>
      <c r="H4" s="3" t="s">
        <v>24</v>
      </c>
    </row>
    <row r="5" spans="1:8">
      <c r="A5" s="2" t="s">
        <v>25</v>
      </c>
      <c r="B5" s="13" t="s">
        <v>243</v>
      </c>
      <c r="C5" s="2" t="s">
        <v>26</v>
      </c>
      <c r="D5" s="2"/>
      <c r="E5" s="2" t="s">
        <v>27</v>
      </c>
      <c r="F5" s="13" t="s">
        <v>255</v>
      </c>
      <c r="G5" s="2" t="s">
        <v>29</v>
      </c>
      <c r="H5" s="2" t="str">
        <f>IF(F5="Yes","Leader selected","Follower setup")</f>
        <v>Follower setup</v>
      </c>
    </row>
    <row r="6" spans="1:8">
      <c r="A6" s="2" t="s">
        <v>30</v>
      </c>
      <c r="B6" s="13" t="s">
        <v>244</v>
      </c>
      <c r="C6" s="2" t="s">
        <v>31</v>
      </c>
      <c r="D6" s="2"/>
      <c r="E6" s="2" t="s">
        <v>32</v>
      </c>
      <c r="F6" s="13" t="s">
        <v>247</v>
      </c>
      <c r="G6" s="2" t="s">
        <v>33</v>
      </c>
      <c r="H6" s="2" t="str">
        <f>IF(F5="No",IF(F6&lt;&gt;"","OK","Enter leader name"),"N/A")</f>
        <v>N/A</v>
      </c>
    </row>
    <row r="7" spans="1:8">
      <c r="A7" s="2" t="s">
        <v>34</v>
      </c>
      <c r="B7" s="13" t="s">
        <v>245</v>
      </c>
      <c r="C7" s="2" t="s">
        <v>35</v>
      </c>
      <c r="D7" s="2"/>
      <c r="E7" s="2" t="s">
        <v>36</v>
      </c>
      <c r="F7" s="14">
        <v>260</v>
      </c>
      <c r="G7" s="2" t="s">
        <v>37</v>
      </c>
      <c r="H7" s="2"/>
    </row>
    <row r="8" spans="1:8">
      <c r="A8" s="2" t="s">
        <v>38</v>
      </c>
      <c r="B8" s="13" t="s">
        <v>246</v>
      </c>
      <c r="C8" s="2" t="s">
        <v>39</v>
      </c>
      <c r="D8" s="2"/>
      <c r="E8" s="2" t="s">
        <v>40</v>
      </c>
      <c r="F8" s="14">
        <v>280</v>
      </c>
      <c r="G8" s="2" t="s">
        <v>37</v>
      </c>
      <c r="H8" s="2"/>
    </row>
    <row r="9" spans="1:8">
      <c r="A9" s="2" t="s">
        <v>41</v>
      </c>
      <c r="B9" s="13" t="s">
        <v>42</v>
      </c>
      <c r="C9" s="2" t="s">
        <v>43</v>
      </c>
      <c r="D9" s="2"/>
      <c r="E9" s="2" t="s">
        <v>44</v>
      </c>
      <c r="F9" s="14">
        <f>F8-F7</f>
        <v>20</v>
      </c>
      <c r="G9" s="2" t="s">
        <v>45</v>
      </c>
      <c r="H9" s="2" t="str">
        <f>IF(F5="Yes","N/A",IF(F7&gt;0,"Calculated","—"))</f>
        <v>Calculated</v>
      </c>
    </row>
    <row r="10" spans="1:8">
      <c r="A10" s="2" t="s">
        <v>46</v>
      </c>
      <c r="B10" s="13" t="s">
        <v>47</v>
      </c>
      <c r="C10" s="2" t="s">
        <v>48</v>
      </c>
      <c r="D10" s="2"/>
      <c r="E10" s="2" t="s">
        <v>49</v>
      </c>
      <c r="F10" s="15">
        <f>IF(F8&gt;0,F8/F7,0)</f>
        <v>1.0769230769230769</v>
      </c>
      <c r="G10" s="2" t="s">
        <v>50</v>
      </c>
      <c r="H10" s="2"/>
    </row>
    <row r="11" spans="1:8">
      <c r="A11" s="2" t="s">
        <v>249</v>
      </c>
      <c r="B11" s="13" t="s">
        <v>251</v>
      </c>
      <c r="C11" s="2"/>
      <c r="D11" s="2"/>
      <c r="E11" s="2" t="s">
        <v>52</v>
      </c>
      <c r="F11" s="13" t="s">
        <v>248</v>
      </c>
      <c r="G11" s="2" t="s">
        <v>53</v>
      </c>
      <c r="H11" s="2"/>
    </row>
    <row r="12" spans="1:8">
      <c r="A12" s="2" t="s">
        <v>250</v>
      </c>
      <c r="B12" s="16" t="s">
        <v>252</v>
      </c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 ht="17.55" customHeight="1">
      <c r="A14" s="65" t="s">
        <v>54</v>
      </c>
      <c r="B14" s="64"/>
      <c r="C14" s="64"/>
      <c r="D14" s="64"/>
      <c r="E14" s="64"/>
      <c r="F14" s="64"/>
      <c r="G14" s="64"/>
      <c r="H14" s="64"/>
    </row>
    <row r="15" spans="1:8">
      <c r="A15" s="3" t="s">
        <v>20</v>
      </c>
      <c r="B15" s="3" t="s">
        <v>21</v>
      </c>
      <c r="C15" s="3" t="s">
        <v>22</v>
      </c>
      <c r="D15" s="2"/>
      <c r="E15" s="2"/>
      <c r="F15" s="2"/>
      <c r="G15" s="2"/>
      <c r="H15" s="2"/>
    </row>
    <row r="16" spans="1:8" ht="15.6" customHeight="1">
      <c r="A16" s="2" t="s">
        <v>256</v>
      </c>
      <c r="B16" s="5">
        <v>267</v>
      </c>
      <c r="C16" s="2" t="s">
        <v>56</v>
      </c>
      <c r="D16" s="2"/>
      <c r="E16" s="2"/>
      <c r="F16" s="2"/>
      <c r="G16" s="2"/>
      <c r="H16" s="2"/>
    </row>
    <row r="17" spans="1:8">
      <c r="A17" s="2" t="s">
        <v>57</v>
      </c>
      <c r="B17" s="18">
        <v>5</v>
      </c>
      <c r="C17" s="2" t="s">
        <v>58</v>
      </c>
      <c r="D17" s="2"/>
      <c r="E17" s="2"/>
      <c r="F17" s="2"/>
      <c r="G17" s="2"/>
      <c r="H17" s="2"/>
    </row>
    <row r="18" spans="1:8">
      <c r="A18" s="2" t="s">
        <v>59</v>
      </c>
      <c r="B18" s="5">
        <v>0</v>
      </c>
      <c r="C18" s="2" t="s">
        <v>60</v>
      </c>
      <c r="D18" s="2"/>
      <c r="E18" s="2"/>
      <c r="F18" s="2"/>
      <c r="G18" s="2"/>
      <c r="H18" s="2"/>
    </row>
    <row r="19" spans="1:8">
      <c r="A19" s="2" t="s">
        <v>61</v>
      </c>
      <c r="B19" s="5">
        <f>B16*B17/100</f>
        <v>13.35</v>
      </c>
      <c r="C19" s="2" t="s">
        <v>62</v>
      </c>
      <c r="D19" s="2"/>
      <c r="E19" s="2"/>
      <c r="F19" s="2"/>
      <c r="G19" s="2"/>
      <c r="H19" s="2"/>
    </row>
    <row r="20" spans="1:8">
      <c r="A20" s="2" t="s">
        <v>63</v>
      </c>
      <c r="B20" s="5">
        <f>B16+B19</f>
        <v>280.35000000000002</v>
      </c>
      <c r="C20" s="2" t="s">
        <v>64</v>
      </c>
      <c r="D20" s="2"/>
      <c r="E20" s="2"/>
      <c r="F20" s="2"/>
      <c r="G20" s="2"/>
      <c r="H20" s="2"/>
    </row>
    <row r="21" spans="1:8">
      <c r="A21" s="2" t="s">
        <v>59</v>
      </c>
      <c r="B21">
        <v>0</v>
      </c>
      <c r="C21" s="2" t="s">
        <v>274</v>
      </c>
      <c r="D21" s="2"/>
      <c r="E21" s="2"/>
      <c r="F21" s="2"/>
      <c r="G21" s="2"/>
      <c r="H21" s="2"/>
    </row>
    <row r="22" spans="1:8">
      <c r="A22" s="2" t="s">
        <v>65</v>
      </c>
      <c r="B22" s="5">
        <f>B20*(1-B18/100)</f>
        <v>280.35000000000002</v>
      </c>
      <c r="C22" s="2" t="s">
        <v>66</v>
      </c>
      <c r="D22" s="2"/>
      <c r="E22" s="2"/>
      <c r="F22" s="2"/>
      <c r="G22" s="2"/>
      <c r="H22" s="2"/>
    </row>
    <row r="23" spans="1:8" ht="14.4" customHeight="1">
      <c r="A23" s="2" t="s">
        <v>253</v>
      </c>
      <c r="B23" s="12">
        <v>0.1</v>
      </c>
      <c r="C23" s="2" t="s">
        <v>254</v>
      </c>
      <c r="D23" s="2"/>
      <c r="E23" s="2"/>
      <c r="F23" s="2"/>
      <c r="G23" s="2"/>
      <c r="H23" s="2"/>
    </row>
  </sheetData>
  <mergeCells count="3">
    <mergeCell ref="A1:H1"/>
    <mergeCell ref="A3:H3"/>
    <mergeCell ref="A14:H14"/>
  </mergeCells>
  <dataValidations count="3">
    <dataValidation type="list" sqref="B10" xr:uid="{00000000-0002-0000-0100-000000000000}">
      <formula1>"Online,Offline,Both"</formula1>
    </dataValidation>
    <dataValidation type="list" sqref="B11" xr:uid="{00000000-0002-0000-0100-000001000000}">
      <formula1>"Daily,Weekly,Monthly,Quarterly,Annual"</formula1>
    </dataValidation>
    <dataValidation type="list" sqref="F5" xr:uid="{00000000-0002-0000-0100-00000200000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8"/>
  <sheetViews>
    <sheetView tabSelected="1" topLeftCell="A28" zoomScale="101" workbookViewId="0">
      <selection activeCell="C17" sqref="C17"/>
    </sheetView>
  </sheetViews>
  <sheetFormatPr defaultRowHeight="13.8"/>
  <cols>
    <col min="1" max="1" width="22.8984375" customWidth="1"/>
    <col min="2" max="2" width="36" customWidth="1"/>
    <col min="3" max="3" width="22" customWidth="1"/>
    <col min="4" max="4" width="19.09765625" customWidth="1"/>
    <col min="5" max="5" width="58" customWidth="1"/>
    <col min="6" max="8" width="3" customWidth="1"/>
  </cols>
  <sheetData>
    <row r="1" spans="1:8" ht="22.35" customHeight="1">
      <c r="A1" s="63" t="s">
        <v>67</v>
      </c>
      <c r="B1" s="64"/>
      <c r="C1" s="64"/>
      <c r="D1" s="64"/>
      <c r="E1" s="64"/>
      <c r="F1" s="64"/>
      <c r="G1" s="64"/>
      <c r="H1" s="64"/>
    </row>
    <row r="2" spans="1:8">
      <c r="A2" s="2"/>
      <c r="B2" s="2"/>
      <c r="C2" s="2"/>
      <c r="D2" s="2"/>
      <c r="E2" s="2"/>
      <c r="F2" s="2"/>
      <c r="G2" s="2"/>
      <c r="H2" s="2"/>
    </row>
    <row r="3" spans="1:8" ht="17.55" customHeight="1">
      <c r="A3" s="65" t="s">
        <v>68</v>
      </c>
      <c r="B3" s="64"/>
      <c r="C3" s="64"/>
      <c r="D3" s="64"/>
      <c r="E3" s="64"/>
      <c r="F3" s="64"/>
      <c r="G3" s="64"/>
      <c r="H3" s="64"/>
    </row>
    <row r="4" spans="1:8">
      <c r="A4" s="3" t="s">
        <v>20</v>
      </c>
      <c r="B4" s="3" t="s">
        <v>21</v>
      </c>
      <c r="C4" s="3" t="s">
        <v>69</v>
      </c>
      <c r="D4" s="3" t="s">
        <v>22</v>
      </c>
      <c r="E4" s="2"/>
      <c r="F4" s="2"/>
      <c r="G4" s="2"/>
      <c r="H4" s="2"/>
    </row>
    <row r="5" spans="1:8" ht="41.4">
      <c r="A5" s="2" t="s">
        <v>70</v>
      </c>
      <c r="B5" s="13" t="s">
        <v>51</v>
      </c>
      <c r="C5" s="2" t="s">
        <v>71</v>
      </c>
      <c r="D5" s="2" t="s">
        <v>72</v>
      </c>
      <c r="E5" s="2"/>
      <c r="F5" s="2"/>
      <c r="G5" s="2"/>
      <c r="H5" s="2"/>
    </row>
    <row r="6" spans="1:8" ht="27.6">
      <c r="A6" s="2" t="s">
        <v>270</v>
      </c>
      <c r="B6" s="19">
        <v>15000</v>
      </c>
      <c r="C6" s="2" t="s">
        <v>73</v>
      </c>
      <c r="D6" s="2" t="s">
        <v>271</v>
      </c>
      <c r="E6" s="2"/>
      <c r="F6" s="2"/>
      <c r="G6" s="2"/>
      <c r="H6" s="2"/>
    </row>
    <row r="7" spans="1:8" ht="27.6">
      <c r="A7" s="2" t="s">
        <v>74</v>
      </c>
      <c r="B7" s="14">
        <f>C30</f>
        <v>448000</v>
      </c>
      <c r="C7" s="2" t="s">
        <v>75</v>
      </c>
      <c r="D7" s="2" t="s">
        <v>76</v>
      </c>
      <c r="E7" s="2"/>
      <c r="F7" s="2"/>
      <c r="G7" s="2"/>
      <c r="H7" s="2"/>
    </row>
    <row r="8" spans="1:8" ht="41.4">
      <c r="A8" s="2" t="s">
        <v>272</v>
      </c>
      <c r="B8" s="19">
        <f>B41</f>
        <v>56.433333333333337</v>
      </c>
      <c r="C8" s="2" t="s">
        <v>77</v>
      </c>
      <c r="D8" s="2" t="s">
        <v>78</v>
      </c>
      <c r="E8" s="2"/>
      <c r="F8" s="2"/>
      <c r="G8" s="2"/>
      <c r="H8" s="2"/>
    </row>
    <row r="9" spans="1:8">
      <c r="A9" s="2" t="s">
        <v>309</v>
      </c>
      <c r="B9" s="20">
        <v>13000</v>
      </c>
      <c r="C9" s="2" t="s">
        <v>310</v>
      </c>
      <c r="D9" s="2"/>
      <c r="E9" s="2"/>
      <c r="F9" s="2"/>
      <c r="G9" s="2"/>
      <c r="H9" s="2"/>
    </row>
    <row r="10" spans="1:8" ht="17.55" customHeight="1">
      <c r="A10" s="65" t="s">
        <v>79</v>
      </c>
      <c r="B10" s="64"/>
      <c r="C10" s="64"/>
      <c r="D10" s="64"/>
      <c r="E10" s="64"/>
      <c r="F10" s="64"/>
      <c r="G10" s="64"/>
      <c r="H10" s="64"/>
    </row>
    <row r="11" spans="1:8">
      <c r="A11" s="3" t="s">
        <v>80</v>
      </c>
      <c r="B11" s="3" t="s">
        <v>81</v>
      </c>
      <c r="C11" s="3" t="s">
        <v>77</v>
      </c>
      <c r="D11" s="3" t="s">
        <v>82</v>
      </c>
      <c r="E11" s="3" t="s">
        <v>83</v>
      </c>
      <c r="F11" s="2"/>
      <c r="G11" s="2"/>
      <c r="H11" s="2"/>
    </row>
    <row r="12" spans="1:8">
      <c r="A12" s="2" t="s">
        <v>84</v>
      </c>
      <c r="B12" s="2" t="s">
        <v>85</v>
      </c>
      <c r="C12" s="5">
        <f>E61</f>
        <v>104</v>
      </c>
      <c r="D12" s="4" t="s">
        <v>28</v>
      </c>
      <c r="E12" s="2" t="s">
        <v>269</v>
      </c>
      <c r="F12" s="2"/>
      <c r="G12" s="2"/>
      <c r="H12" s="2"/>
    </row>
    <row r="13" spans="1:8">
      <c r="A13" s="2" t="s">
        <v>84</v>
      </c>
      <c r="B13" s="2" t="s">
        <v>9</v>
      </c>
      <c r="C13" s="5">
        <v>20</v>
      </c>
      <c r="D13" s="4" t="s">
        <v>28</v>
      </c>
      <c r="E13" s="2" t="s">
        <v>86</v>
      </c>
      <c r="F13" s="2"/>
      <c r="G13" s="2"/>
      <c r="H13" s="2"/>
    </row>
    <row r="14" spans="1:8">
      <c r="A14" s="2" t="s">
        <v>84</v>
      </c>
      <c r="B14" s="2" t="s">
        <v>275</v>
      </c>
      <c r="C14" s="5">
        <v>7</v>
      </c>
      <c r="D14" s="4" t="s">
        <v>28</v>
      </c>
      <c r="E14" s="2" t="s">
        <v>277</v>
      </c>
      <c r="F14" s="2"/>
      <c r="G14" s="2"/>
      <c r="H14" s="2"/>
    </row>
    <row r="15" spans="1:8">
      <c r="A15" s="2" t="s">
        <v>84</v>
      </c>
      <c r="B15" s="2" t="s">
        <v>88</v>
      </c>
      <c r="C15" s="5">
        <v>20</v>
      </c>
      <c r="D15" s="4" t="s">
        <v>28</v>
      </c>
      <c r="E15" s="2" t="s">
        <v>89</v>
      </c>
      <c r="F15" s="2"/>
      <c r="G15" s="2"/>
      <c r="H15" s="2"/>
    </row>
    <row r="16" spans="1:8" ht="27.6">
      <c r="A16" s="2" t="s">
        <v>84</v>
      </c>
      <c r="B16" s="2" t="s">
        <v>90</v>
      </c>
      <c r="C16" s="5">
        <f>Company_Context!B16*0.1</f>
        <v>26.700000000000003</v>
      </c>
      <c r="D16" s="4" t="s">
        <v>28</v>
      </c>
      <c r="E16" s="2" t="s">
        <v>276</v>
      </c>
      <c r="F16" s="2"/>
      <c r="G16" s="2"/>
      <c r="H16" s="2"/>
    </row>
    <row r="17" spans="1:8">
      <c r="A17" s="2" t="s">
        <v>84</v>
      </c>
      <c r="B17" s="2" t="s">
        <v>301</v>
      </c>
      <c r="C17" s="5">
        <v>3</v>
      </c>
      <c r="D17" s="4" t="s">
        <v>91</v>
      </c>
      <c r="E17" s="2" t="s">
        <v>92</v>
      </c>
      <c r="F17" s="2"/>
      <c r="G17" s="2"/>
      <c r="H17" s="2"/>
    </row>
    <row r="18" spans="1:8">
      <c r="A18" s="2"/>
      <c r="B18" s="2" t="s">
        <v>93</v>
      </c>
      <c r="C18" s="6">
        <f>SUM(C12:C17)</f>
        <v>180.7</v>
      </c>
      <c r="D18" s="2"/>
      <c r="E18" s="2"/>
      <c r="F18" s="2"/>
      <c r="G18" s="2"/>
      <c r="H18" s="2"/>
    </row>
    <row r="19" spans="1:8">
      <c r="A19" s="2"/>
      <c r="B19" s="2" t="s">
        <v>94</v>
      </c>
      <c r="C19" s="6">
        <f>Company_Context!B16-C18</f>
        <v>86.300000000000011</v>
      </c>
      <c r="D19" s="2"/>
      <c r="E19" s="2" t="s">
        <v>95</v>
      </c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 ht="17.55" customHeight="1">
      <c r="A21" s="65" t="s">
        <v>96</v>
      </c>
      <c r="B21" s="64"/>
      <c r="C21" s="64"/>
      <c r="D21" s="64"/>
      <c r="E21" s="64"/>
      <c r="F21" s="64"/>
      <c r="G21" s="64"/>
      <c r="H21" s="64"/>
    </row>
    <row r="22" spans="1:8">
      <c r="A22" s="3" t="s">
        <v>80</v>
      </c>
      <c r="B22" s="3" t="s">
        <v>81</v>
      </c>
      <c r="C22" s="3" t="s">
        <v>97</v>
      </c>
      <c r="D22" s="3" t="s">
        <v>82</v>
      </c>
      <c r="E22" s="3" t="s">
        <v>83</v>
      </c>
      <c r="F22" s="2"/>
      <c r="G22" s="2"/>
      <c r="H22" s="2"/>
    </row>
    <row r="23" spans="1:8">
      <c r="A23" s="2" t="s">
        <v>98</v>
      </c>
      <c r="B23" s="2" t="s">
        <v>99</v>
      </c>
      <c r="C23" s="5">
        <v>40000</v>
      </c>
      <c r="D23" s="4" t="s">
        <v>28</v>
      </c>
      <c r="E23" s="2" t="s">
        <v>100</v>
      </c>
      <c r="F23" s="2"/>
      <c r="G23" s="2"/>
      <c r="H23" s="2"/>
    </row>
    <row r="24" spans="1:8" ht="27.6">
      <c r="A24" s="2" t="s">
        <v>98</v>
      </c>
      <c r="B24" s="2" t="s">
        <v>101</v>
      </c>
      <c r="C24" s="5">
        <f>D54</f>
        <v>310000</v>
      </c>
      <c r="D24" s="4" t="s">
        <v>28</v>
      </c>
      <c r="E24" s="2" t="s">
        <v>102</v>
      </c>
      <c r="F24" s="2"/>
      <c r="G24" s="2"/>
      <c r="H24" s="2"/>
    </row>
    <row r="25" spans="1:8">
      <c r="A25" s="2" t="s">
        <v>98</v>
      </c>
      <c r="B25" s="2" t="s">
        <v>268</v>
      </c>
      <c r="C25" s="5">
        <v>70000</v>
      </c>
      <c r="D25" s="4" t="s">
        <v>278</v>
      </c>
      <c r="E25" s="2" t="s">
        <v>302</v>
      </c>
      <c r="F25" s="2"/>
      <c r="G25" s="2"/>
      <c r="H25" s="2"/>
    </row>
    <row r="26" spans="1:8">
      <c r="A26" s="2" t="s">
        <v>98</v>
      </c>
      <c r="B26" s="2" t="s">
        <v>103</v>
      </c>
      <c r="C26" s="5">
        <v>3000</v>
      </c>
      <c r="D26" s="4" t="s">
        <v>278</v>
      </c>
      <c r="E26" s="2" t="s">
        <v>104</v>
      </c>
      <c r="F26" s="2"/>
      <c r="G26" s="2"/>
      <c r="H26" s="2"/>
    </row>
    <row r="27" spans="1:8" ht="27.6">
      <c r="A27" s="2" t="s">
        <v>279</v>
      </c>
      <c r="B27" s="2" t="s">
        <v>283</v>
      </c>
      <c r="C27" s="5">
        <v>5000</v>
      </c>
      <c r="D27" s="4" t="s">
        <v>278</v>
      </c>
      <c r="E27" s="2" t="s">
        <v>284</v>
      </c>
      <c r="F27" s="2"/>
      <c r="G27" s="2"/>
      <c r="H27" s="2"/>
    </row>
    <row r="28" spans="1:8">
      <c r="A28" s="2" t="s">
        <v>279</v>
      </c>
      <c r="B28" s="2" t="s">
        <v>280</v>
      </c>
      <c r="C28" s="5">
        <v>10000</v>
      </c>
      <c r="D28" s="4" t="s">
        <v>91</v>
      </c>
      <c r="E28" s="2" t="s">
        <v>281</v>
      </c>
      <c r="F28" s="2"/>
      <c r="G28" s="2"/>
      <c r="H28" s="2"/>
    </row>
    <row r="29" spans="1:8">
      <c r="A29" s="2" t="s">
        <v>98</v>
      </c>
      <c r="B29" s="2" t="s">
        <v>105</v>
      </c>
      <c r="C29" s="5">
        <v>10000</v>
      </c>
      <c r="D29" s="4" t="s">
        <v>91</v>
      </c>
      <c r="E29" s="2" t="s">
        <v>106</v>
      </c>
      <c r="F29" s="2"/>
      <c r="G29" s="2"/>
      <c r="H29" s="2"/>
    </row>
    <row r="30" spans="1:8">
      <c r="A30" s="2" t="s">
        <v>279</v>
      </c>
      <c r="B30" s="2" t="s">
        <v>107</v>
      </c>
      <c r="C30" s="6">
        <f>SUM(C23:C29)</f>
        <v>448000</v>
      </c>
      <c r="D30" s="2"/>
      <c r="E30" s="2"/>
      <c r="F30" s="2"/>
      <c r="G30" s="2"/>
      <c r="H30" s="2"/>
    </row>
    <row r="31" spans="1:8">
      <c r="A31" s="2"/>
      <c r="B31" s="2" t="s">
        <v>108</v>
      </c>
      <c r="C31" s="6">
        <f>IF(B6&gt;0,C30/B6,0)</f>
        <v>29.866666666666667</v>
      </c>
      <c r="D31" s="2"/>
      <c r="E31" s="2" t="s">
        <v>282</v>
      </c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 ht="17.55" customHeight="1">
      <c r="A34" s="65" t="s">
        <v>109</v>
      </c>
      <c r="B34" s="64"/>
      <c r="C34" s="64"/>
      <c r="D34" s="64"/>
      <c r="E34" s="64"/>
      <c r="F34" s="64"/>
      <c r="G34" s="64"/>
      <c r="H34" s="64"/>
    </row>
    <row r="35" spans="1:8">
      <c r="A35" s="3" t="s">
        <v>110</v>
      </c>
      <c r="B35" s="3" t="s">
        <v>111</v>
      </c>
      <c r="C35" s="3" t="s">
        <v>112</v>
      </c>
      <c r="D35" s="3" t="s">
        <v>113</v>
      </c>
      <c r="E35" s="2"/>
      <c r="F35" s="2"/>
      <c r="G35" s="2"/>
      <c r="H35" s="2"/>
    </row>
    <row r="36" spans="1:8" ht="27.6">
      <c r="A36" s="2" t="s">
        <v>114</v>
      </c>
      <c r="B36" s="5">
        <f>C18</f>
        <v>180.7</v>
      </c>
      <c r="C36" s="2" t="s">
        <v>115</v>
      </c>
      <c r="D36" s="2" t="s">
        <v>116</v>
      </c>
      <c r="E36" s="2"/>
      <c r="F36" s="2"/>
      <c r="G36" s="2"/>
      <c r="H36" s="2"/>
    </row>
    <row r="37" spans="1:8" ht="27.6">
      <c r="A37" s="2" t="s">
        <v>117</v>
      </c>
      <c r="B37" s="5">
        <f>C30</f>
        <v>448000</v>
      </c>
      <c r="C37" s="2" t="s">
        <v>118</v>
      </c>
      <c r="D37" s="2" t="s">
        <v>119</v>
      </c>
      <c r="E37" s="2"/>
      <c r="F37" s="2"/>
      <c r="G37" s="2"/>
      <c r="H37" s="2"/>
    </row>
    <row r="38" spans="1:8" ht="27.6">
      <c r="A38" s="2" t="s">
        <v>108</v>
      </c>
      <c r="B38" s="5">
        <f>C31</f>
        <v>29.866666666666667</v>
      </c>
      <c r="C38" s="2" t="s">
        <v>120</v>
      </c>
      <c r="D38" s="2" t="s">
        <v>121</v>
      </c>
      <c r="E38" s="2"/>
      <c r="F38" s="2"/>
      <c r="G38" s="2"/>
      <c r="H38" s="2"/>
    </row>
    <row r="39" spans="1:8" ht="41.4">
      <c r="A39" s="2" t="s">
        <v>122</v>
      </c>
      <c r="B39" s="5">
        <f>B36+B38</f>
        <v>210.56666666666666</v>
      </c>
      <c r="C39" s="2" t="s">
        <v>123</v>
      </c>
      <c r="D39" s="2" t="s">
        <v>124</v>
      </c>
      <c r="E39" s="2"/>
      <c r="F39" s="2"/>
      <c r="G39" s="2"/>
      <c r="H39" s="2"/>
    </row>
    <row r="40" spans="1:8">
      <c r="A40" s="2" t="s">
        <v>125</v>
      </c>
      <c r="B40" s="5">
        <f>Company_Context!B16-B36</f>
        <v>86.300000000000011</v>
      </c>
      <c r="C40" s="2" t="s">
        <v>126</v>
      </c>
      <c r="D40" s="2" t="s">
        <v>127</v>
      </c>
      <c r="E40" s="2"/>
      <c r="F40" s="2"/>
      <c r="G40" s="2"/>
      <c r="H40" s="2"/>
    </row>
    <row r="41" spans="1:8">
      <c r="A41" s="2" t="s">
        <v>273</v>
      </c>
      <c r="B41" s="7">
        <f>Company_Context!B16-B39</f>
        <v>56.433333333333337</v>
      </c>
      <c r="C41" s="2"/>
      <c r="D41" s="2"/>
      <c r="E41" s="2"/>
      <c r="F41" s="2"/>
      <c r="G41" s="2"/>
      <c r="H41" s="2"/>
    </row>
    <row r="42" spans="1:8">
      <c r="A42" s="2"/>
      <c r="B42" s="5"/>
      <c r="C42" s="2"/>
      <c r="D42" s="2"/>
      <c r="E42" s="2"/>
      <c r="F42" s="2"/>
      <c r="G42" s="2"/>
      <c r="H42" s="2"/>
    </row>
    <row r="46" spans="1:8">
      <c r="A46" s="65"/>
      <c r="B46" s="64"/>
      <c r="C46" s="64"/>
      <c r="D46" s="64"/>
      <c r="E46" s="64"/>
      <c r="F46" s="64"/>
      <c r="G46" s="64"/>
      <c r="H46" s="64"/>
    </row>
    <row r="47" spans="1:8">
      <c r="A47" s="65" t="s">
        <v>257</v>
      </c>
      <c r="B47" s="64"/>
      <c r="C47" s="64"/>
      <c r="D47" s="64"/>
      <c r="E47" s="64"/>
      <c r="F47" s="64"/>
      <c r="G47" s="64"/>
      <c r="H47" s="64"/>
    </row>
    <row r="48" spans="1:8">
      <c r="A48" s="3" t="s">
        <v>258</v>
      </c>
      <c r="B48" s="3" t="s">
        <v>262</v>
      </c>
      <c r="C48" s="3" t="s">
        <v>259</v>
      </c>
      <c r="D48" s="3" t="s">
        <v>263</v>
      </c>
    </row>
    <row r="49" spans="1:8">
      <c r="A49" t="s">
        <v>260</v>
      </c>
      <c r="B49">
        <v>1</v>
      </c>
      <c r="C49" s="21">
        <v>50000</v>
      </c>
      <c r="D49" s="21">
        <f>B49*C49</f>
        <v>50000</v>
      </c>
    </row>
    <row r="50" spans="1:8">
      <c r="A50" t="s">
        <v>261</v>
      </c>
      <c r="B50">
        <v>1</v>
      </c>
      <c r="C50" s="21">
        <v>30000</v>
      </c>
      <c r="D50" s="21">
        <f t="shared" ref="D50:D53" si="0">B50*C50</f>
        <v>30000</v>
      </c>
    </row>
    <row r="51" spans="1:8">
      <c r="A51" t="s">
        <v>266</v>
      </c>
      <c r="B51">
        <v>5</v>
      </c>
      <c r="C51" s="21">
        <v>15000</v>
      </c>
      <c r="D51" s="21">
        <f t="shared" si="0"/>
        <v>75000</v>
      </c>
    </row>
    <row r="52" spans="1:8">
      <c r="A52" t="s">
        <v>265</v>
      </c>
      <c r="B52">
        <v>4</v>
      </c>
      <c r="C52" s="21">
        <v>20000</v>
      </c>
      <c r="D52" s="21">
        <f t="shared" si="0"/>
        <v>80000</v>
      </c>
    </row>
    <row r="53" spans="1:8">
      <c r="A53" t="s">
        <v>264</v>
      </c>
      <c r="B53">
        <v>5</v>
      </c>
      <c r="C53" s="21">
        <v>15000</v>
      </c>
      <c r="D53" s="21">
        <f t="shared" si="0"/>
        <v>75000</v>
      </c>
    </row>
    <row r="54" spans="1:8">
      <c r="C54" s="17" t="s">
        <v>267</v>
      </c>
      <c r="D54">
        <f>SUM(D49:D53)</f>
        <v>310000</v>
      </c>
    </row>
    <row r="55" spans="1:8">
      <c r="A55" s="65" t="s">
        <v>285</v>
      </c>
      <c r="B55" s="64"/>
      <c r="C55" s="64"/>
      <c r="D55" s="64"/>
      <c r="E55" s="64"/>
      <c r="F55" s="64"/>
      <c r="G55" s="64"/>
      <c r="H55" s="64"/>
    </row>
    <row r="56" spans="1:8" ht="27.6">
      <c r="A56" s="3" t="s">
        <v>292</v>
      </c>
      <c r="B56" s="3" t="s">
        <v>293</v>
      </c>
      <c r="C56" s="3" t="s">
        <v>286</v>
      </c>
      <c r="D56" s="3" t="s">
        <v>295</v>
      </c>
      <c r="E56" s="3" t="s">
        <v>294</v>
      </c>
      <c r="F56" s="2"/>
      <c r="G56" s="2"/>
      <c r="H56" s="2"/>
    </row>
    <row r="57" spans="1:8" ht="14.4" thickBot="1">
      <c r="A57" s="22" t="s">
        <v>287</v>
      </c>
      <c r="B57" s="23">
        <v>0.505</v>
      </c>
      <c r="C57" s="24" t="s">
        <v>300</v>
      </c>
      <c r="D57" s="29">
        <v>90</v>
      </c>
      <c r="E57" s="25">
        <f>D57*B57</f>
        <v>45.45</v>
      </c>
    </row>
    <row r="58" spans="1:8" ht="14.4" thickBot="1">
      <c r="A58" s="22" t="s">
        <v>288</v>
      </c>
      <c r="B58" s="23">
        <v>0.115</v>
      </c>
      <c r="C58" s="24" t="s">
        <v>299</v>
      </c>
      <c r="D58" s="24">
        <v>70</v>
      </c>
      <c r="E58" s="25">
        <f>D58*B58</f>
        <v>8.0500000000000007</v>
      </c>
    </row>
    <row r="59" spans="1:8" ht="21" thickBot="1">
      <c r="A59" s="22" t="s">
        <v>296</v>
      </c>
      <c r="B59" s="23">
        <v>0.35</v>
      </c>
      <c r="C59" s="24" t="s">
        <v>298</v>
      </c>
      <c r="D59" s="24">
        <v>110</v>
      </c>
      <c r="E59" s="25">
        <f>D59*B59</f>
        <v>38.5</v>
      </c>
    </row>
    <row r="60" spans="1:8" ht="21" customHeight="1" thickBot="1">
      <c r="A60" s="22" t="s">
        <v>297</v>
      </c>
      <c r="B60" s="23">
        <v>0.03</v>
      </c>
      <c r="C60" s="24" t="s">
        <v>289</v>
      </c>
      <c r="D60" s="24">
        <v>400</v>
      </c>
      <c r="E60" s="25">
        <f>D60*B60</f>
        <v>12</v>
      </c>
    </row>
    <row r="61" spans="1:8">
      <c r="A61" s="26" t="s">
        <v>290</v>
      </c>
      <c r="B61" s="27">
        <v>1</v>
      </c>
      <c r="C61" s="26" t="s">
        <v>291</v>
      </c>
      <c r="D61" s="28"/>
      <c r="E61" s="30">
        <f>SUM(E57:E60)</f>
        <v>104</v>
      </c>
    </row>
    <row r="63" spans="1:8">
      <c r="A63" s="26" t="s">
        <v>303</v>
      </c>
    </row>
    <row r="64" spans="1:8">
      <c r="A64" s="3" t="s">
        <v>292</v>
      </c>
      <c r="B64" s="3" t="s">
        <v>304</v>
      </c>
    </row>
    <row r="65" spans="1:2" ht="14.4" thickBot="1">
      <c r="A65" s="22" t="s">
        <v>287</v>
      </c>
      <c r="B65" t="s">
        <v>305</v>
      </c>
    </row>
    <row r="66" spans="1:2" ht="14.4" thickBot="1">
      <c r="A66" s="22" t="s">
        <v>288</v>
      </c>
      <c r="B66" t="s">
        <v>306</v>
      </c>
    </row>
    <row r="67" spans="1:2" ht="21" thickBot="1">
      <c r="A67" s="22" t="s">
        <v>296</v>
      </c>
      <c r="B67" t="s">
        <v>307</v>
      </c>
    </row>
    <row r="68" spans="1:2" ht="31.8" customHeight="1" thickBot="1">
      <c r="A68" s="22" t="s">
        <v>297</v>
      </c>
      <c r="B68" t="s">
        <v>308</v>
      </c>
    </row>
  </sheetData>
  <mergeCells count="8">
    <mergeCell ref="A55:H55"/>
    <mergeCell ref="A47:H47"/>
    <mergeCell ref="A46:H46"/>
    <mergeCell ref="A34:H34"/>
    <mergeCell ref="A1:H1"/>
    <mergeCell ref="A3:H3"/>
    <mergeCell ref="A10:H10"/>
    <mergeCell ref="A21:H21"/>
  </mergeCells>
  <dataValidations count="2">
    <dataValidation type="list" sqref="B5" xr:uid="{00000000-0002-0000-0200-000000000000}">
      <formula1>"Daily,Weekly,Monthly,Quarterly,Annual"</formula1>
    </dataValidation>
    <dataValidation type="list" sqref="D12:D17 D23:D29" xr:uid="{00000000-0002-0000-0200-000001000000}">
      <formula1>"Yes,Optional,No"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EA0B6-CC3C-4A4D-8EA4-B596D8B382BA}">
  <dimension ref="B2:M46"/>
  <sheetViews>
    <sheetView topLeftCell="A27" workbookViewId="0">
      <selection activeCell="B38" sqref="B38:B46"/>
    </sheetView>
  </sheetViews>
  <sheetFormatPr defaultRowHeight="13.8"/>
  <cols>
    <col min="2" max="2" width="17.69921875" customWidth="1"/>
    <col min="3" max="3" width="10.796875" customWidth="1"/>
    <col min="5" max="5" width="11.3984375" customWidth="1"/>
    <col min="8" max="8" width="9.796875" customWidth="1"/>
  </cols>
  <sheetData>
    <row r="2" spans="2:13" ht="16.8">
      <c r="B2" s="36" t="s">
        <v>349</v>
      </c>
    </row>
    <row r="3" spans="2:13">
      <c r="B3" s="37" t="s">
        <v>350</v>
      </c>
    </row>
    <row r="5" spans="2:13" ht="39.6">
      <c r="B5" s="38" t="s">
        <v>351</v>
      </c>
      <c r="C5" s="38" t="s">
        <v>352</v>
      </c>
      <c r="D5" s="38" t="s">
        <v>369</v>
      </c>
      <c r="E5" s="38" t="s">
        <v>367</v>
      </c>
      <c r="F5" s="38" t="s">
        <v>370</v>
      </c>
      <c r="G5" s="38" t="s">
        <v>371</v>
      </c>
      <c r="H5" s="38" t="s">
        <v>372</v>
      </c>
      <c r="I5" s="38" t="s">
        <v>373</v>
      </c>
      <c r="J5" s="38" t="s">
        <v>374</v>
      </c>
      <c r="K5" s="38" t="s">
        <v>375</v>
      </c>
      <c r="L5" s="38" t="s">
        <v>376</v>
      </c>
      <c r="M5" s="38" t="s">
        <v>377</v>
      </c>
    </row>
    <row r="6" spans="2:13">
      <c r="B6" s="39" t="s">
        <v>353</v>
      </c>
      <c r="C6" s="39" t="s">
        <v>206</v>
      </c>
      <c r="D6" s="40">
        <v>1</v>
      </c>
      <c r="E6" s="41">
        <v>260</v>
      </c>
      <c r="F6" s="40">
        <v>9</v>
      </c>
      <c r="G6" s="40">
        <v>7</v>
      </c>
      <c r="H6" s="40">
        <v>8.5</v>
      </c>
      <c r="I6" s="42">
        <v>8.1666666666666661</v>
      </c>
      <c r="J6" s="43">
        <v>260</v>
      </c>
      <c r="K6" s="43">
        <v>-20</v>
      </c>
      <c r="L6" s="44">
        <v>1</v>
      </c>
      <c r="M6" s="43">
        <v>31.836734693877553</v>
      </c>
    </row>
    <row r="7" spans="2:13">
      <c r="B7" s="39" t="s">
        <v>354</v>
      </c>
      <c r="C7" s="39" t="s">
        <v>355</v>
      </c>
      <c r="D7" s="40">
        <v>1</v>
      </c>
      <c r="E7" s="41">
        <v>270</v>
      </c>
      <c r="F7" s="40">
        <v>8.5</v>
      </c>
      <c r="G7" s="40">
        <v>7</v>
      </c>
      <c r="H7" s="40">
        <v>8</v>
      </c>
      <c r="I7" s="42">
        <v>7.833333333333333</v>
      </c>
      <c r="J7" s="43">
        <v>270</v>
      </c>
      <c r="K7" s="43">
        <v>-10</v>
      </c>
      <c r="L7" s="44">
        <v>1.0384615384615385</v>
      </c>
      <c r="M7" s="43">
        <v>34.468085106382979</v>
      </c>
    </row>
    <row r="8" spans="2:13">
      <c r="B8" s="39" t="s">
        <v>356</v>
      </c>
      <c r="C8" s="39" t="s">
        <v>355</v>
      </c>
      <c r="D8" s="40">
        <v>1</v>
      </c>
      <c r="E8" s="41">
        <v>280</v>
      </c>
      <c r="F8" s="40">
        <v>8</v>
      </c>
      <c r="G8" s="40">
        <v>8</v>
      </c>
      <c r="H8" s="40">
        <v>8.5</v>
      </c>
      <c r="I8" s="42">
        <v>8.1666666666666661</v>
      </c>
      <c r="J8" s="43">
        <v>280</v>
      </c>
      <c r="K8" s="43">
        <v>0</v>
      </c>
      <c r="L8" s="44">
        <v>1.0769230769230769</v>
      </c>
      <c r="M8" s="43">
        <v>34.285714285714285</v>
      </c>
    </row>
    <row r="9" spans="2:13" ht="26.4">
      <c r="B9" s="39" t="s">
        <v>357</v>
      </c>
      <c r="C9" s="39" t="s">
        <v>358</v>
      </c>
      <c r="D9" s="40">
        <v>1</v>
      </c>
      <c r="E9" s="41">
        <v>250</v>
      </c>
      <c r="F9" s="40">
        <v>8.5</v>
      </c>
      <c r="G9" s="40">
        <v>8</v>
      </c>
      <c r="H9" s="40">
        <v>8.8000000000000007</v>
      </c>
      <c r="I9" s="42">
        <v>8.4333333333333336</v>
      </c>
      <c r="J9" s="43">
        <v>250</v>
      </c>
      <c r="K9" s="43">
        <v>-30</v>
      </c>
      <c r="L9" s="44">
        <v>0.96153846153846156</v>
      </c>
      <c r="M9" s="43">
        <v>29.644268774703555</v>
      </c>
    </row>
    <row r="10" spans="2:13">
      <c r="B10" s="45" t="s">
        <v>359</v>
      </c>
      <c r="C10" s="46" t="s">
        <v>360</v>
      </c>
      <c r="D10" s="47">
        <v>1</v>
      </c>
      <c r="E10" s="48">
        <v>280</v>
      </c>
      <c r="F10" s="47">
        <v>9</v>
      </c>
      <c r="G10" s="47">
        <v>8</v>
      </c>
      <c r="H10" s="47">
        <v>9</v>
      </c>
      <c r="I10" s="49">
        <v>8.6666666666666661</v>
      </c>
      <c r="J10" s="50">
        <v>280</v>
      </c>
      <c r="K10" s="50">
        <v>0</v>
      </c>
      <c r="L10" s="51">
        <v>1.0769230769230769</v>
      </c>
      <c r="M10" s="50">
        <v>32.307692307692307</v>
      </c>
    </row>
    <row r="11" spans="2:13">
      <c r="B11" s="37" t="s">
        <v>361</v>
      </c>
    </row>
    <row r="13" spans="2:13" ht="26.4">
      <c r="B13" s="52" t="s">
        <v>362</v>
      </c>
      <c r="C13" s="52" t="s">
        <v>363</v>
      </c>
      <c r="D13" s="52" t="s">
        <v>378</v>
      </c>
    </row>
    <row r="14" spans="2:13">
      <c r="B14" s="39" t="s">
        <v>364</v>
      </c>
      <c r="C14" s="42">
        <v>7.7333333333333334</v>
      </c>
      <c r="D14" s="53">
        <v>278.03680981595085</v>
      </c>
    </row>
    <row r="15" spans="2:13">
      <c r="B15" s="39" t="s">
        <v>365</v>
      </c>
      <c r="C15" s="42">
        <v>8.7666666666666657</v>
      </c>
      <c r="D15" s="53">
        <v>245.70552147239255</v>
      </c>
    </row>
    <row r="37" spans="2:8">
      <c r="B37" s="54" t="s">
        <v>366</v>
      </c>
    </row>
    <row r="38" spans="2:8" ht="39.6">
      <c r="B38" s="38" t="s">
        <v>367</v>
      </c>
      <c r="C38" s="38" t="s">
        <v>368</v>
      </c>
      <c r="D38" s="38" t="s">
        <v>376</v>
      </c>
      <c r="E38" s="38" t="s">
        <v>379</v>
      </c>
      <c r="F38" s="38" t="s">
        <v>380</v>
      </c>
      <c r="G38" s="38" t="s">
        <v>381</v>
      </c>
      <c r="H38" s="38" t="s">
        <v>382</v>
      </c>
    </row>
    <row r="39" spans="2:8" ht="26.4">
      <c r="B39" s="55">
        <v>259</v>
      </c>
      <c r="C39" s="43">
        <v>-1</v>
      </c>
      <c r="D39" s="44">
        <v>0.99615384615384617</v>
      </c>
      <c r="E39" s="44">
        <v>0.97735849056603774</v>
      </c>
      <c r="F39" s="56">
        <v>1</v>
      </c>
      <c r="G39" s="39" t="s">
        <v>28</v>
      </c>
      <c r="H39" s="57" t="s">
        <v>383</v>
      </c>
    </row>
    <row r="40" spans="2:8">
      <c r="B40" s="55">
        <v>266.33</v>
      </c>
      <c r="C40" s="43">
        <v>6.3299999999999841</v>
      </c>
      <c r="D40" s="44">
        <v>1.0243461538461538</v>
      </c>
      <c r="E40" s="44">
        <v>1.0050188679245282</v>
      </c>
      <c r="F40" s="56">
        <v>2</v>
      </c>
      <c r="G40" s="39" t="s">
        <v>28</v>
      </c>
      <c r="H40" s="57" t="s">
        <v>384</v>
      </c>
    </row>
    <row r="41" spans="2:8">
      <c r="B41" s="55">
        <v>269</v>
      </c>
      <c r="C41" s="43">
        <v>9</v>
      </c>
      <c r="D41" s="44">
        <v>1.0346153846153847</v>
      </c>
      <c r="E41" s="44">
        <v>1.0150943396226415</v>
      </c>
      <c r="F41" s="56">
        <v>2</v>
      </c>
      <c r="G41" s="39" t="s">
        <v>28</v>
      </c>
      <c r="H41" s="57" t="s">
        <v>384</v>
      </c>
    </row>
    <row r="42" spans="2:8">
      <c r="B42" s="55">
        <v>272</v>
      </c>
      <c r="C42" s="43">
        <v>12</v>
      </c>
      <c r="D42" s="44">
        <v>1.0461538461538462</v>
      </c>
      <c r="E42" s="44">
        <v>1.0264150943396226</v>
      </c>
      <c r="F42" s="56">
        <v>3</v>
      </c>
      <c r="G42" s="39" t="s">
        <v>28</v>
      </c>
      <c r="H42" s="57" t="s">
        <v>384</v>
      </c>
    </row>
    <row r="43" spans="2:8">
      <c r="B43" s="55">
        <v>275</v>
      </c>
      <c r="C43" s="43">
        <v>15</v>
      </c>
      <c r="D43" s="44">
        <v>1.0576923076923077</v>
      </c>
      <c r="E43" s="44">
        <v>1.0377358490566038</v>
      </c>
      <c r="F43" s="56">
        <v>3</v>
      </c>
      <c r="G43" s="39" t="s">
        <v>28</v>
      </c>
      <c r="H43" s="57" t="s">
        <v>384</v>
      </c>
    </row>
    <row r="44" spans="2:8">
      <c r="B44" s="55">
        <v>279</v>
      </c>
      <c r="C44" s="43">
        <v>19</v>
      </c>
      <c r="D44" s="44">
        <v>1.073076923076923</v>
      </c>
      <c r="E44" s="44">
        <v>1.0528301886792453</v>
      </c>
      <c r="F44" s="56">
        <v>3</v>
      </c>
      <c r="G44" s="39" t="s">
        <v>28</v>
      </c>
      <c r="H44" s="57" t="s">
        <v>384</v>
      </c>
    </row>
    <row r="45" spans="2:8">
      <c r="B45" s="55">
        <v>280</v>
      </c>
      <c r="C45" s="43">
        <v>20</v>
      </c>
      <c r="D45" s="44">
        <v>1.0769230769230769</v>
      </c>
      <c r="E45" s="44">
        <v>1.0566037735849056</v>
      </c>
      <c r="F45" s="56">
        <v>3</v>
      </c>
      <c r="G45" s="39" t="s">
        <v>28</v>
      </c>
      <c r="H45" s="57" t="s">
        <v>384</v>
      </c>
    </row>
    <row r="46" spans="2:8" ht="26.4">
      <c r="B46" s="55">
        <v>289</v>
      </c>
      <c r="C46" s="43">
        <v>29</v>
      </c>
      <c r="D46" s="44">
        <v>1.1115384615384616</v>
      </c>
      <c r="E46" s="44">
        <v>1.090566037735849</v>
      </c>
      <c r="F46" s="56">
        <v>4</v>
      </c>
      <c r="G46" s="39" t="s">
        <v>133</v>
      </c>
      <c r="H46" s="57" t="s">
        <v>385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1D02-C9AF-465F-81B2-D73CE52C11EB}">
  <dimension ref="A1:D19"/>
  <sheetViews>
    <sheetView topLeftCell="A5" workbookViewId="0">
      <selection activeCell="F19" sqref="F19"/>
    </sheetView>
  </sheetViews>
  <sheetFormatPr defaultRowHeight="13.8"/>
  <cols>
    <col min="1" max="1" width="16.3984375" customWidth="1"/>
    <col min="2" max="2" width="10.5" bestFit="1" customWidth="1"/>
    <col min="4" max="4" width="26.59765625" customWidth="1"/>
  </cols>
  <sheetData>
    <row r="1" spans="1:4">
      <c r="A1" s="31" t="s">
        <v>129</v>
      </c>
      <c r="B1" s="31" t="s">
        <v>199</v>
      </c>
      <c r="C1" s="31" t="s">
        <v>69</v>
      </c>
      <c r="D1" s="31" t="s">
        <v>312</v>
      </c>
    </row>
    <row r="2" spans="1:4" ht="31.2" customHeight="1">
      <c r="A2" s="32" t="s">
        <v>313</v>
      </c>
      <c r="B2" s="33">
        <v>154</v>
      </c>
      <c r="C2" s="32" t="s">
        <v>77</v>
      </c>
      <c r="D2" s="32" t="s">
        <v>314</v>
      </c>
    </row>
    <row r="3" spans="1:4" ht="24.6" customHeight="1">
      <c r="A3" s="32" t="s">
        <v>315</v>
      </c>
      <c r="B3" s="34">
        <v>0.1</v>
      </c>
      <c r="C3" s="32" t="s">
        <v>316</v>
      </c>
      <c r="D3" s="32" t="s">
        <v>317</v>
      </c>
    </row>
    <row r="4" spans="1:4" ht="37.799999999999997" customHeight="1">
      <c r="A4" s="32" t="s">
        <v>318</v>
      </c>
      <c r="B4" s="33">
        <v>171.111111111111</v>
      </c>
      <c r="C4" s="32" t="s">
        <v>319</v>
      </c>
      <c r="D4" s="32" t="s">
        <v>320</v>
      </c>
    </row>
    <row r="5" spans="1:4" ht="33.6" customHeight="1">
      <c r="A5" s="32" t="s">
        <v>321</v>
      </c>
      <c r="B5" s="33">
        <v>209.40170940170901</v>
      </c>
      <c r="C5" s="32" t="s">
        <v>319</v>
      </c>
      <c r="D5" s="32" t="s">
        <v>322</v>
      </c>
    </row>
    <row r="6" spans="1:4">
      <c r="A6" s="32" t="s">
        <v>323</v>
      </c>
      <c r="B6" s="33">
        <v>280</v>
      </c>
      <c r="C6" s="32" t="s">
        <v>324</v>
      </c>
      <c r="D6" s="32" t="s">
        <v>325</v>
      </c>
    </row>
    <row r="7" spans="1:4" ht="42.6" customHeight="1">
      <c r="A7" s="32" t="s">
        <v>326</v>
      </c>
      <c r="B7" s="33">
        <v>266.66666666666703</v>
      </c>
      <c r="C7" s="32" t="s">
        <v>319</v>
      </c>
      <c r="D7" s="32" t="s">
        <v>327</v>
      </c>
    </row>
    <row r="8" spans="1:4" ht="30" customHeight="1">
      <c r="A8" s="32" t="s">
        <v>328</v>
      </c>
      <c r="B8" s="33">
        <v>253.65</v>
      </c>
      <c r="C8" s="32" t="s">
        <v>319</v>
      </c>
      <c r="D8" s="32" t="s">
        <v>329</v>
      </c>
    </row>
    <row r="9" spans="1:4" ht="19.8" customHeight="1">
      <c r="A9" s="32" t="s">
        <v>330</v>
      </c>
      <c r="B9" s="33">
        <v>275</v>
      </c>
      <c r="C9" s="32" t="s">
        <v>319</v>
      </c>
      <c r="D9" s="32" t="s">
        <v>331</v>
      </c>
    </row>
    <row r="10" spans="1:4" ht="45" customHeight="1">
      <c r="A10" s="32" t="s">
        <v>338</v>
      </c>
      <c r="B10" s="33">
        <v>265</v>
      </c>
      <c r="C10" s="32" t="s">
        <v>339</v>
      </c>
      <c r="D10" s="32" t="s">
        <v>340</v>
      </c>
    </row>
    <row r="11" spans="1:4" ht="26.4" customHeight="1">
      <c r="A11" s="32" t="s">
        <v>337</v>
      </c>
      <c r="B11" s="33">
        <v>288</v>
      </c>
      <c r="C11" s="32" t="s">
        <v>339</v>
      </c>
      <c r="D11" s="32" t="s">
        <v>341</v>
      </c>
    </row>
    <row r="12" spans="1:4" ht="30" customHeight="1">
      <c r="A12" s="32" t="s">
        <v>342</v>
      </c>
      <c r="B12" s="32">
        <v>17000</v>
      </c>
      <c r="C12" s="32"/>
      <c r="D12" s="32"/>
    </row>
    <row r="13" spans="1:4">
      <c r="A13" s="32" t="s">
        <v>343</v>
      </c>
      <c r="B13" s="32">
        <v>13000</v>
      </c>
      <c r="C13" s="32"/>
      <c r="D13" s="32"/>
    </row>
    <row r="14" spans="1:4" ht="30.6" customHeight="1">
      <c r="A14" s="32" t="s">
        <v>344</v>
      </c>
      <c r="B14" s="33">
        <v>650000</v>
      </c>
      <c r="C14" s="32"/>
      <c r="D14" s="32"/>
    </row>
    <row r="15" spans="1:4" ht="27" customHeight="1">
      <c r="A15" s="32" t="s">
        <v>345</v>
      </c>
      <c r="B15" s="33">
        <v>850000</v>
      </c>
      <c r="C15" s="32"/>
      <c r="D15" s="32"/>
    </row>
    <row r="16" spans="1:4">
      <c r="A16" s="32" t="s">
        <v>311</v>
      </c>
      <c r="B16" s="35" t="s">
        <v>346</v>
      </c>
      <c r="C16" s="32"/>
      <c r="D16" s="32"/>
    </row>
    <row r="17" spans="1:4" ht="51" customHeight="1">
      <c r="A17" s="32" t="s">
        <v>347</v>
      </c>
      <c r="B17" s="33" t="s">
        <v>348</v>
      </c>
      <c r="C17" s="32"/>
      <c r="D17" s="32"/>
    </row>
    <row r="18" spans="1:4" ht="22.2" customHeight="1">
      <c r="A18" s="32" t="s">
        <v>332</v>
      </c>
      <c r="B18" s="35" t="s">
        <v>51</v>
      </c>
      <c r="C18" s="32"/>
      <c r="D18" s="32" t="s">
        <v>333</v>
      </c>
    </row>
    <row r="19" spans="1:4" ht="52.8">
      <c r="A19" s="32" t="s">
        <v>334</v>
      </c>
      <c r="B19" s="35" t="s">
        <v>335</v>
      </c>
      <c r="C19" s="32"/>
      <c r="D19" s="32" t="s">
        <v>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8244-329D-4981-AAED-D0254D207A92}">
  <dimension ref="A1:U184"/>
  <sheetViews>
    <sheetView topLeftCell="G1" zoomScale="77" zoomScaleNormal="100" workbookViewId="0">
      <selection activeCell="N162" sqref="N162"/>
    </sheetView>
  </sheetViews>
  <sheetFormatPr defaultRowHeight="13.8"/>
  <cols>
    <col min="1" max="1" width="12.69921875" customWidth="1"/>
  </cols>
  <sheetData>
    <row r="1" spans="1:21">
      <c r="A1" t="s">
        <v>386</v>
      </c>
      <c r="B1" t="s">
        <v>387</v>
      </c>
      <c r="C1" t="s">
        <v>388</v>
      </c>
      <c r="D1" t="s">
        <v>389</v>
      </c>
      <c r="E1" t="s">
        <v>390</v>
      </c>
      <c r="F1" t="s">
        <v>391</v>
      </c>
      <c r="G1" t="s">
        <v>392</v>
      </c>
      <c r="H1" t="s">
        <v>393</v>
      </c>
      <c r="I1" t="s">
        <v>394</v>
      </c>
      <c r="J1" t="s">
        <v>395</v>
      </c>
      <c r="K1" t="s">
        <v>395</v>
      </c>
      <c r="L1" t="s">
        <v>396</v>
      </c>
      <c r="M1" t="s">
        <v>397</v>
      </c>
      <c r="N1" t="s">
        <v>398</v>
      </c>
      <c r="O1" t="s">
        <v>399</v>
      </c>
      <c r="P1" t="s">
        <v>400</v>
      </c>
      <c r="Q1" t="s">
        <v>401</v>
      </c>
      <c r="R1" t="s">
        <v>402</v>
      </c>
      <c r="S1" t="s">
        <v>403</v>
      </c>
      <c r="T1" t="s">
        <v>404</v>
      </c>
      <c r="U1" t="s">
        <v>405</v>
      </c>
    </row>
    <row r="2" spans="1:21">
      <c r="A2" s="58">
        <v>45201</v>
      </c>
      <c r="B2">
        <v>220</v>
      </c>
      <c r="C2">
        <v>200</v>
      </c>
      <c r="D2">
        <v>216.67</v>
      </c>
      <c r="F2">
        <v>100.72</v>
      </c>
      <c r="G2">
        <v>141.01</v>
      </c>
      <c r="I2">
        <v>2375</v>
      </c>
      <c r="J2" s="59">
        <f t="shared" ref="J2:J33" si="0">K2/2</f>
        <v>49.5</v>
      </c>
      <c r="K2">
        <v>99</v>
      </c>
      <c r="L2" s="59">
        <v>5</v>
      </c>
      <c r="M2">
        <v>5.3936275460000003</v>
      </c>
      <c r="N2">
        <v>5.2983173670000001</v>
      </c>
      <c r="O2">
        <v>5.3783754589999999</v>
      </c>
      <c r="P2">
        <v>7.7727527160000003</v>
      </c>
      <c r="Q2">
        <v>0</v>
      </c>
      <c r="R2">
        <v>0</v>
      </c>
      <c r="S2">
        <v>2141</v>
      </c>
      <c r="T2">
        <v>4.5938058560000004</v>
      </c>
      <c r="U2">
        <v>2.1860512769999998</v>
      </c>
    </row>
    <row r="3" spans="1:21">
      <c r="A3" s="58">
        <v>45208</v>
      </c>
      <c r="B3">
        <v>220</v>
      </c>
      <c r="C3">
        <v>200</v>
      </c>
      <c r="D3">
        <v>216.67</v>
      </c>
      <c r="E3" t="s">
        <v>406</v>
      </c>
      <c r="F3">
        <v>100.78</v>
      </c>
      <c r="G3">
        <v>141.09</v>
      </c>
      <c r="I3">
        <v>3110</v>
      </c>
      <c r="J3" s="59">
        <f t="shared" si="0"/>
        <v>49</v>
      </c>
      <c r="K3">
        <v>98</v>
      </c>
      <c r="L3" s="59">
        <v>5</v>
      </c>
      <c r="M3">
        <v>5.3936275460000003</v>
      </c>
      <c r="N3">
        <v>5.2983173670000001</v>
      </c>
      <c r="O3">
        <v>5.3783754589999999</v>
      </c>
      <c r="P3">
        <v>8.0423780049999998</v>
      </c>
      <c r="Q3">
        <v>0</v>
      </c>
      <c r="R3">
        <v>1</v>
      </c>
      <c r="S3">
        <v>2536</v>
      </c>
      <c r="T3">
        <v>4.5894472259999999</v>
      </c>
      <c r="U3">
        <v>2.4484155410000001</v>
      </c>
    </row>
    <row r="4" spans="1:21">
      <c r="A4" s="58">
        <v>45215</v>
      </c>
      <c r="B4">
        <v>220</v>
      </c>
      <c r="C4">
        <v>200</v>
      </c>
      <c r="D4">
        <v>216.67</v>
      </c>
      <c r="E4" t="s">
        <v>406</v>
      </c>
      <c r="F4">
        <v>100.84</v>
      </c>
      <c r="G4">
        <v>141.16999999999999</v>
      </c>
      <c r="I4">
        <v>3133</v>
      </c>
      <c r="J4" s="59">
        <f t="shared" si="0"/>
        <v>48.5</v>
      </c>
      <c r="K4">
        <v>97</v>
      </c>
      <c r="L4" s="59">
        <v>6</v>
      </c>
      <c r="M4">
        <v>5.3936275460000003</v>
      </c>
      <c r="N4">
        <v>5.2983173670000001</v>
      </c>
      <c r="O4">
        <v>5.3783754589999999</v>
      </c>
      <c r="P4">
        <v>8.0497462909999999</v>
      </c>
      <c r="Q4">
        <v>0</v>
      </c>
      <c r="R4">
        <v>1</v>
      </c>
      <c r="S4">
        <v>3487</v>
      </c>
      <c r="T4">
        <v>4.5797498089999999</v>
      </c>
      <c r="U4">
        <v>2.4150205219999998</v>
      </c>
    </row>
    <row r="5" spans="1:21">
      <c r="A5" s="58">
        <v>45222</v>
      </c>
      <c r="B5">
        <v>220</v>
      </c>
      <c r="C5">
        <v>200</v>
      </c>
      <c r="D5">
        <v>216.67</v>
      </c>
      <c r="E5" t="s">
        <v>406</v>
      </c>
      <c r="F5">
        <v>100.89</v>
      </c>
      <c r="G5">
        <v>141.25</v>
      </c>
      <c r="I5">
        <v>3285</v>
      </c>
      <c r="J5" s="59">
        <f t="shared" si="0"/>
        <v>49.5</v>
      </c>
      <c r="K5">
        <v>99</v>
      </c>
      <c r="L5" s="59">
        <v>5</v>
      </c>
      <c r="M5">
        <v>5.3936275460000003</v>
      </c>
      <c r="N5">
        <v>5.2983173670000001</v>
      </c>
      <c r="O5">
        <v>5.3783754589999999</v>
      </c>
      <c r="P5">
        <v>8.0971219310000002</v>
      </c>
      <c r="Q5">
        <v>0</v>
      </c>
      <c r="R5">
        <v>1</v>
      </c>
      <c r="S5">
        <v>4580</v>
      </c>
      <c r="T5">
        <v>4.5911726760000002</v>
      </c>
      <c r="U5">
        <v>2.3253245800000002</v>
      </c>
    </row>
    <row r="6" spans="1:21">
      <c r="A6" s="58">
        <v>45229</v>
      </c>
      <c r="B6">
        <v>220</v>
      </c>
      <c r="C6">
        <v>200</v>
      </c>
      <c r="D6">
        <v>216.67</v>
      </c>
      <c r="E6" t="s">
        <v>406</v>
      </c>
      <c r="F6">
        <v>100.95</v>
      </c>
      <c r="G6">
        <v>141.33000000000001</v>
      </c>
      <c r="I6">
        <v>3403</v>
      </c>
      <c r="J6" s="59">
        <f t="shared" si="0"/>
        <v>50</v>
      </c>
      <c r="K6">
        <v>100</v>
      </c>
      <c r="L6" s="59">
        <v>4</v>
      </c>
      <c r="M6">
        <v>5.3936275460000003</v>
      </c>
      <c r="N6">
        <v>5.2983173670000001</v>
      </c>
      <c r="O6">
        <v>5.3783754589999999</v>
      </c>
      <c r="P6">
        <v>8.1324126749999994</v>
      </c>
      <c r="Q6">
        <v>0</v>
      </c>
      <c r="R6">
        <v>1</v>
      </c>
      <c r="S6">
        <v>4856</v>
      </c>
      <c r="T6">
        <v>4.6085644190000004</v>
      </c>
      <c r="U6">
        <v>2.526528324</v>
      </c>
    </row>
    <row r="7" spans="1:21">
      <c r="A7" s="58">
        <v>45236</v>
      </c>
      <c r="B7">
        <v>220</v>
      </c>
      <c r="C7">
        <v>200</v>
      </c>
      <c r="D7">
        <v>216.67</v>
      </c>
      <c r="E7" t="s">
        <v>407</v>
      </c>
      <c r="F7">
        <v>101.01</v>
      </c>
      <c r="G7">
        <v>141.41</v>
      </c>
      <c r="I7">
        <v>4589</v>
      </c>
      <c r="J7" s="59">
        <f t="shared" si="0"/>
        <v>50.5</v>
      </c>
      <c r="K7">
        <v>101</v>
      </c>
      <c r="L7" s="59">
        <v>6</v>
      </c>
      <c r="M7">
        <v>5.3936275460000003</v>
      </c>
      <c r="N7">
        <v>5.2983173670000001</v>
      </c>
      <c r="O7">
        <v>5.3783754589999999</v>
      </c>
      <c r="P7">
        <v>8.4314174140000002</v>
      </c>
      <c r="Q7">
        <v>1</v>
      </c>
      <c r="R7">
        <v>0</v>
      </c>
      <c r="S7">
        <v>4395</v>
      </c>
      <c r="T7">
        <v>4.6173951559999997</v>
      </c>
      <c r="U7">
        <v>2.6056482669999999</v>
      </c>
    </row>
    <row r="8" spans="1:21">
      <c r="A8" s="58">
        <v>45243</v>
      </c>
      <c r="B8">
        <v>220</v>
      </c>
      <c r="C8">
        <v>200</v>
      </c>
      <c r="D8">
        <v>216.67</v>
      </c>
      <c r="F8">
        <v>101.07</v>
      </c>
      <c r="G8">
        <v>141.49</v>
      </c>
      <c r="I8">
        <v>2473</v>
      </c>
      <c r="J8" s="59">
        <f t="shared" si="0"/>
        <v>51</v>
      </c>
      <c r="K8">
        <v>102</v>
      </c>
      <c r="L8" s="59">
        <v>4</v>
      </c>
      <c r="M8">
        <v>5.3936275460000003</v>
      </c>
      <c r="N8">
        <v>5.2983173670000001</v>
      </c>
      <c r="O8">
        <v>5.3783754589999999</v>
      </c>
      <c r="P8">
        <v>7.8131872680000001</v>
      </c>
      <c r="Q8">
        <v>0</v>
      </c>
      <c r="R8">
        <v>0</v>
      </c>
      <c r="S8">
        <v>1892</v>
      </c>
      <c r="T8">
        <v>4.6200587979999996</v>
      </c>
      <c r="U8">
        <v>2.3135250329999999</v>
      </c>
    </row>
    <row r="9" spans="1:21">
      <c r="A9" s="58">
        <v>45250</v>
      </c>
      <c r="B9">
        <v>220</v>
      </c>
      <c r="C9">
        <v>200</v>
      </c>
      <c r="D9">
        <v>216.67</v>
      </c>
      <c r="F9">
        <v>101.12</v>
      </c>
      <c r="G9">
        <v>141.57</v>
      </c>
      <c r="I9">
        <v>2427</v>
      </c>
      <c r="J9" s="59">
        <f t="shared" si="0"/>
        <v>51</v>
      </c>
      <c r="K9">
        <v>102</v>
      </c>
      <c r="L9" s="59">
        <v>5</v>
      </c>
      <c r="M9">
        <v>5.3936275460000003</v>
      </c>
      <c r="N9">
        <v>5.2983173670000001</v>
      </c>
      <c r="O9">
        <v>5.3783754589999999</v>
      </c>
      <c r="P9">
        <v>7.7944112060000004</v>
      </c>
      <c r="Q9">
        <v>0</v>
      </c>
      <c r="R9">
        <v>0</v>
      </c>
      <c r="S9">
        <v>2116</v>
      </c>
      <c r="T9">
        <v>4.620748216</v>
      </c>
      <c r="U9">
        <v>2.249184316</v>
      </c>
    </row>
    <row r="10" spans="1:21">
      <c r="A10" s="58">
        <v>45257</v>
      </c>
      <c r="B10">
        <v>220</v>
      </c>
      <c r="C10">
        <v>200</v>
      </c>
      <c r="D10">
        <v>216.67</v>
      </c>
      <c r="F10">
        <v>101.18</v>
      </c>
      <c r="G10">
        <v>141.65</v>
      </c>
      <c r="I10">
        <v>2370</v>
      </c>
      <c r="J10" s="59">
        <f t="shared" si="0"/>
        <v>50.5</v>
      </c>
      <c r="K10">
        <v>101</v>
      </c>
      <c r="L10" s="59">
        <v>6</v>
      </c>
      <c r="M10">
        <v>5.3936275460000003</v>
      </c>
      <c r="N10">
        <v>5.2983173670000001</v>
      </c>
      <c r="O10">
        <v>5.3783754589999999</v>
      </c>
      <c r="P10">
        <v>7.7706452339999998</v>
      </c>
      <c r="Q10">
        <v>0</v>
      </c>
      <c r="R10">
        <v>0</v>
      </c>
      <c r="S10">
        <v>2283</v>
      </c>
      <c r="T10">
        <v>4.6145262809999998</v>
      </c>
      <c r="U10">
        <v>2.3466019779999998</v>
      </c>
    </row>
    <row r="11" spans="1:21">
      <c r="A11" s="58">
        <v>45264</v>
      </c>
      <c r="B11">
        <v>220</v>
      </c>
      <c r="C11">
        <v>200</v>
      </c>
      <c r="D11">
        <v>216.67</v>
      </c>
      <c r="F11">
        <v>101.24</v>
      </c>
      <c r="G11">
        <v>141.74</v>
      </c>
      <c r="I11">
        <v>2381</v>
      </c>
      <c r="J11" s="59">
        <f t="shared" si="0"/>
        <v>50</v>
      </c>
      <c r="K11">
        <v>100</v>
      </c>
      <c r="L11" s="59">
        <v>6</v>
      </c>
      <c r="M11">
        <v>5.3936275460000003</v>
      </c>
      <c r="N11">
        <v>5.2983173670000001</v>
      </c>
      <c r="O11">
        <v>5.3783754589999999</v>
      </c>
      <c r="P11">
        <v>7.7752758460000004</v>
      </c>
      <c r="Q11">
        <v>0</v>
      </c>
      <c r="R11">
        <v>0</v>
      </c>
      <c r="S11">
        <v>2162</v>
      </c>
      <c r="T11">
        <v>4.6056700609999996</v>
      </c>
      <c r="U11">
        <v>2.267993648</v>
      </c>
    </row>
    <row r="12" spans="1:21">
      <c r="A12" s="58">
        <v>45271</v>
      </c>
      <c r="B12">
        <v>220</v>
      </c>
      <c r="C12">
        <v>200</v>
      </c>
      <c r="D12">
        <v>216.67</v>
      </c>
      <c r="F12">
        <v>101.3</v>
      </c>
      <c r="G12">
        <v>141.82</v>
      </c>
      <c r="I12">
        <v>2641</v>
      </c>
      <c r="J12" s="59">
        <f t="shared" si="0"/>
        <v>50</v>
      </c>
      <c r="K12">
        <v>100</v>
      </c>
      <c r="L12" s="59">
        <v>7</v>
      </c>
      <c r="M12">
        <v>5.3936275460000003</v>
      </c>
      <c r="N12">
        <v>5.2983173670000001</v>
      </c>
      <c r="O12">
        <v>5.3783754589999999</v>
      </c>
      <c r="P12">
        <v>7.8789129119999997</v>
      </c>
      <c r="Q12">
        <v>0</v>
      </c>
      <c r="R12">
        <v>0</v>
      </c>
      <c r="S12">
        <v>2433</v>
      </c>
      <c r="T12">
        <v>4.6095605339999999</v>
      </c>
      <c r="U12">
        <v>2.3005830899999999</v>
      </c>
    </row>
    <row r="13" spans="1:21">
      <c r="A13" s="58">
        <v>45278</v>
      </c>
      <c r="B13">
        <v>220</v>
      </c>
      <c r="C13">
        <v>200</v>
      </c>
      <c r="D13">
        <v>216.67</v>
      </c>
      <c r="F13">
        <v>101.35</v>
      </c>
      <c r="G13">
        <v>141.9</v>
      </c>
      <c r="I13">
        <v>2344</v>
      </c>
      <c r="J13" s="59">
        <f t="shared" si="0"/>
        <v>49</v>
      </c>
      <c r="K13">
        <v>98</v>
      </c>
      <c r="L13" s="59">
        <v>6</v>
      </c>
      <c r="M13">
        <v>5.3936275460000003</v>
      </c>
      <c r="N13">
        <v>5.2983173670000001</v>
      </c>
      <c r="O13">
        <v>5.3783754589999999</v>
      </c>
      <c r="P13">
        <v>7.7596141510000001</v>
      </c>
      <c r="Q13">
        <v>0</v>
      </c>
      <c r="R13">
        <v>0</v>
      </c>
      <c r="S13">
        <v>2505</v>
      </c>
      <c r="T13">
        <v>4.5814920590000003</v>
      </c>
      <c r="U13">
        <v>2.2246235520000002</v>
      </c>
    </row>
    <row r="14" spans="1:21">
      <c r="A14" s="58">
        <v>45285</v>
      </c>
      <c r="B14">
        <v>220</v>
      </c>
      <c r="C14">
        <v>200</v>
      </c>
      <c r="D14">
        <v>216.67</v>
      </c>
      <c r="F14">
        <v>101.41</v>
      </c>
      <c r="G14">
        <v>141.97999999999999</v>
      </c>
      <c r="I14">
        <v>2218</v>
      </c>
      <c r="J14" s="59">
        <f t="shared" si="0"/>
        <v>48</v>
      </c>
      <c r="K14">
        <v>96</v>
      </c>
      <c r="L14" s="59">
        <v>7</v>
      </c>
      <c r="M14">
        <v>5.3936275460000003</v>
      </c>
      <c r="N14">
        <v>5.2983173670000001</v>
      </c>
      <c r="O14">
        <v>5.3783754589999999</v>
      </c>
      <c r="P14">
        <v>7.7043611680000001</v>
      </c>
      <c r="Q14">
        <v>0</v>
      </c>
      <c r="R14">
        <v>0</v>
      </c>
      <c r="S14">
        <v>2399</v>
      </c>
      <c r="T14">
        <v>4.5627844690000003</v>
      </c>
      <c r="U14">
        <v>2.2170272049999999</v>
      </c>
    </row>
    <row r="15" spans="1:21">
      <c r="A15" s="58">
        <v>45292</v>
      </c>
      <c r="B15">
        <v>220</v>
      </c>
      <c r="C15">
        <v>200</v>
      </c>
      <c r="D15">
        <v>216.67</v>
      </c>
      <c r="F15">
        <v>101.47</v>
      </c>
      <c r="G15">
        <v>142.06</v>
      </c>
      <c r="I15">
        <v>2171</v>
      </c>
      <c r="J15" s="59">
        <f t="shared" si="0"/>
        <v>47</v>
      </c>
      <c r="K15">
        <v>94</v>
      </c>
      <c r="L15" s="59">
        <v>5</v>
      </c>
      <c r="M15">
        <v>5.3936275460000003</v>
      </c>
      <c r="N15">
        <v>5.2983173670000001</v>
      </c>
      <c r="O15">
        <v>5.3783754589999999</v>
      </c>
      <c r="P15">
        <v>7.6829431699999997</v>
      </c>
      <c r="Q15">
        <v>0</v>
      </c>
      <c r="R15">
        <v>0</v>
      </c>
      <c r="S15">
        <v>2572</v>
      </c>
      <c r="T15">
        <v>4.5403116140000002</v>
      </c>
      <c r="U15">
        <v>2.4212566230000001</v>
      </c>
    </row>
    <row r="16" spans="1:21">
      <c r="A16" s="58">
        <v>45299</v>
      </c>
      <c r="B16">
        <v>220</v>
      </c>
      <c r="C16">
        <v>210</v>
      </c>
      <c r="D16">
        <v>216.67</v>
      </c>
      <c r="F16">
        <v>101.53</v>
      </c>
      <c r="G16">
        <v>142.13999999999999</v>
      </c>
      <c r="I16">
        <v>2229</v>
      </c>
      <c r="J16" s="59">
        <f t="shared" si="0"/>
        <v>47.5</v>
      </c>
      <c r="K16">
        <v>95</v>
      </c>
      <c r="L16" s="59">
        <v>6</v>
      </c>
      <c r="M16">
        <v>5.3936275460000003</v>
      </c>
      <c r="N16">
        <v>5.3471075309999998</v>
      </c>
      <c r="O16">
        <v>5.3783754589999999</v>
      </c>
      <c r="P16">
        <v>7.7093083330000001</v>
      </c>
      <c r="Q16">
        <v>0</v>
      </c>
      <c r="R16">
        <v>0</v>
      </c>
      <c r="S16">
        <v>2577</v>
      </c>
      <c r="T16">
        <v>4.5508195909999998</v>
      </c>
      <c r="U16">
        <v>2.2752138959999999</v>
      </c>
    </row>
    <row r="17" spans="1:21">
      <c r="A17" s="58">
        <v>45306</v>
      </c>
      <c r="B17">
        <v>220</v>
      </c>
      <c r="C17">
        <v>210</v>
      </c>
      <c r="D17">
        <v>216.67</v>
      </c>
      <c r="F17">
        <v>101.59</v>
      </c>
      <c r="G17">
        <v>142.22</v>
      </c>
      <c r="I17">
        <v>2116</v>
      </c>
      <c r="J17" s="59">
        <f t="shared" si="0"/>
        <v>46.5</v>
      </c>
      <c r="K17">
        <v>93</v>
      </c>
      <c r="L17" s="59">
        <v>7</v>
      </c>
      <c r="M17">
        <v>5.3936275460000003</v>
      </c>
      <c r="N17">
        <v>5.3471075309999998</v>
      </c>
      <c r="O17">
        <v>5.3783754589999999</v>
      </c>
      <c r="P17">
        <v>7.6572827930000003</v>
      </c>
      <c r="Q17">
        <v>0</v>
      </c>
      <c r="R17">
        <v>0</v>
      </c>
      <c r="S17">
        <v>2314</v>
      </c>
      <c r="T17">
        <v>4.5371054549999998</v>
      </c>
      <c r="U17">
        <v>2.3398808780000002</v>
      </c>
    </row>
    <row r="18" spans="1:21">
      <c r="A18" s="58">
        <v>45313</v>
      </c>
      <c r="B18">
        <v>220</v>
      </c>
      <c r="C18">
        <v>210</v>
      </c>
      <c r="D18">
        <v>216.67</v>
      </c>
      <c r="F18">
        <v>101.64</v>
      </c>
      <c r="G18">
        <v>142.30000000000001</v>
      </c>
      <c r="I18">
        <v>2050</v>
      </c>
      <c r="J18" s="59">
        <f t="shared" si="0"/>
        <v>46.5</v>
      </c>
      <c r="K18">
        <v>93</v>
      </c>
      <c r="L18" s="59">
        <v>8</v>
      </c>
      <c r="M18">
        <v>5.3936275460000003</v>
      </c>
      <c r="N18">
        <v>5.3471075309999998</v>
      </c>
      <c r="O18">
        <v>5.3783754589999999</v>
      </c>
      <c r="P18">
        <v>7.6255950720000003</v>
      </c>
      <c r="Q18">
        <v>0</v>
      </c>
      <c r="R18">
        <v>0</v>
      </c>
      <c r="S18">
        <v>2466</v>
      </c>
      <c r="T18">
        <v>4.5336741839999997</v>
      </c>
      <c r="U18">
        <v>2.3145136640000001</v>
      </c>
    </row>
    <row r="19" spans="1:21">
      <c r="A19" s="58">
        <v>45320</v>
      </c>
      <c r="B19">
        <v>220</v>
      </c>
      <c r="C19">
        <v>210</v>
      </c>
      <c r="D19">
        <v>216.67</v>
      </c>
      <c r="F19">
        <v>101.7</v>
      </c>
      <c r="G19">
        <v>142.38</v>
      </c>
      <c r="I19">
        <v>2300</v>
      </c>
      <c r="J19" s="59">
        <f t="shared" si="0"/>
        <v>47.5</v>
      </c>
      <c r="K19">
        <v>95</v>
      </c>
      <c r="L19" s="59">
        <v>7</v>
      </c>
      <c r="M19">
        <v>5.3936275460000003</v>
      </c>
      <c r="N19">
        <v>5.3471075309999998</v>
      </c>
      <c r="O19">
        <v>5.3783754589999999</v>
      </c>
      <c r="P19">
        <v>7.7406644020000002</v>
      </c>
      <c r="Q19">
        <v>0</v>
      </c>
      <c r="R19">
        <v>0</v>
      </c>
      <c r="S19">
        <v>2275</v>
      </c>
      <c r="T19">
        <v>4.5542978559999998</v>
      </c>
      <c r="U19">
        <v>2.2834022740000002</v>
      </c>
    </row>
    <row r="20" spans="1:21">
      <c r="A20" s="58">
        <v>45327</v>
      </c>
      <c r="B20">
        <v>220</v>
      </c>
      <c r="C20">
        <v>210</v>
      </c>
      <c r="D20">
        <v>216.67</v>
      </c>
      <c r="F20">
        <v>101.76</v>
      </c>
      <c r="G20">
        <v>142.46</v>
      </c>
      <c r="I20">
        <v>2207</v>
      </c>
      <c r="J20" s="59">
        <f t="shared" si="0"/>
        <v>48</v>
      </c>
      <c r="K20">
        <v>96</v>
      </c>
      <c r="L20" s="59">
        <v>6</v>
      </c>
      <c r="M20">
        <v>5.3936275460000003</v>
      </c>
      <c r="N20">
        <v>5.3471075309999998</v>
      </c>
      <c r="O20">
        <v>5.3783754589999999</v>
      </c>
      <c r="P20">
        <v>7.6993894059999999</v>
      </c>
      <c r="Q20">
        <v>0</v>
      </c>
      <c r="R20">
        <v>0</v>
      </c>
      <c r="S20">
        <v>2560</v>
      </c>
      <c r="T20">
        <v>4.5594403339999996</v>
      </c>
      <c r="U20">
        <v>2.279316466</v>
      </c>
    </row>
    <row r="21" spans="1:21">
      <c r="A21" s="58">
        <v>45334</v>
      </c>
      <c r="B21">
        <v>220</v>
      </c>
      <c r="C21">
        <v>210</v>
      </c>
      <c r="D21">
        <v>216.67</v>
      </c>
      <c r="F21">
        <v>101.82</v>
      </c>
      <c r="G21">
        <v>142.54</v>
      </c>
      <c r="I21">
        <v>2394</v>
      </c>
      <c r="J21" s="59">
        <f t="shared" si="0"/>
        <v>47.5</v>
      </c>
      <c r="K21">
        <v>95</v>
      </c>
      <c r="L21" s="59">
        <v>7</v>
      </c>
      <c r="M21">
        <v>5.3936275460000003</v>
      </c>
      <c r="N21">
        <v>5.3471075309999998</v>
      </c>
      <c r="O21">
        <v>5.3783754589999999</v>
      </c>
      <c r="P21">
        <v>7.7807208860000001</v>
      </c>
      <c r="Q21">
        <v>0</v>
      </c>
      <c r="R21">
        <v>0</v>
      </c>
      <c r="S21">
        <v>2476</v>
      </c>
      <c r="T21">
        <v>4.5536663429999997</v>
      </c>
      <c r="U21">
        <v>2.3711778840000002</v>
      </c>
    </row>
    <row r="22" spans="1:21">
      <c r="A22" s="58">
        <v>45341</v>
      </c>
      <c r="B22">
        <v>220</v>
      </c>
      <c r="C22">
        <v>210</v>
      </c>
      <c r="D22">
        <v>226.67</v>
      </c>
      <c r="F22">
        <v>101.87</v>
      </c>
      <c r="G22">
        <v>142.62</v>
      </c>
      <c r="I22">
        <v>2504</v>
      </c>
      <c r="J22" s="59">
        <f t="shared" si="0"/>
        <v>48</v>
      </c>
      <c r="K22">
        <v>96</v>
      </c>
      <c r="L22" s="59">
        <v>8</v>
      </c>
      <c r="M22">
        <v>5.3936275460000003</v>
      </c>
      <c r="N22">
        <v>5.3471075309999998</v>
      </c>
      <c r="O22">
        <v>5.423495215</v>
      </c>
      <c r="P22">
        <v>7.8256447319999998</v>
      </c>
      <c r="Q22">
        <v>0</v>
      </c>
      <c r="R22">
        <v>0</v>
      </c>
      <c r="S22">
        <v>2453</v>
      </c>
      <c r="T22">
        <v>4.5648688890000004</v>
      </c>
      <c r="U22">
        <v>2.297572551</v>
      </c>
    </row>
    <row r="23" spans="1:21">
      <c r="A23" s="58">
        <v>45348</v>
      </c>
      <c r="B23">
        <v>220</v>
      </c>
      <c r="C23">
        <v>210</v>
      </c>
      <c r="D23">
        <v>226.67</v>
      </c>
      <c r="F23">
        <v>101.93</v>
      </c>
      <c r="G23">
        <v>142.71</v>
      </c>
      <c r="I23">
        <v>2531</v>
      </c>
      <c r="J23" s="59">
        <f t="shared" si="0"/>
        <v>49</v>
      </c>
      <c r="K23">
        <v>98</v>
      </c>
      <c r="L23" s="59">
        <v>9</v>
      </c>
      <c r="M23">
        <v>5.3936275460000003</v>
      </c>
      <c r="N23">
        <v>5.3471075309999998</v>
      </c>
      <c r="O23">
        <v>5.423495215</v>
      </c>
      <c r="P23">
        <v>7.8363697610000003</v>
      </c>
      <c r="Q23">
        <v>0</v>
      </c>
      <c r="R23">
        <v>0</v>
      </c>
      <c r="S23">
        <v>2353</v>
      </c>
      <c r="T23">
        <v>4.5891424250000004</v>
      </c>
      <c r="U23">
        <v>2.3105532630000001</v>
      </c>
    </row>
    <row r="24" spans="1:21">
      <c r="A24" s="58">
        <v>45355</v>
      </c>
      <c r="B24">
        <v>220</v>
      </c>
      <c r="C24">
        <v>210</v>
      </c>
      <c r="D24">
        <v>226.67</v>
      </c>
      <c r="F24">
        <v>101.99</v>
      </c>
      <c r="G24">
        <v>142.79</v>
      </c>
      <c r="I24">
        <v>2560</v>
      </c>
      <c r="J24" s="59">
        <f t="shared" si="0"/>
        <v>49.5</v>
      </c>
      <c r="K24">
        <v>99</v>
      </c>
      <c r="L24" s="59">
        <v>10.23</v>
      </c>
      <c r="M24">
        <v>5.3936275460000003</v>
      </c>
      <c r="N24">
        <v>5.3471075309999998</v>
      </c>
      <c r="O24">
        <v>5.423495215</v>
      </c>
      <c r="P24">
        <v>7.8477625370000004</v>
      </c>
      <c r="Q24">
        <v>0</v>
      </c>
      <c r="R24">
        <v>0</v>
      </c>
      <c r="S24">
        <v>2493</v>
      </c>
      <c r="T24">
        <v>4.5953218500000004</v>
      </c>
      <c r="U24">
        <v>2.3253245800000002</v>
      </c>
    </row>
    <row r="25" spans="1:21">
      <c r="A25" s="58">
        <v>45362</v>
      </c>
      <c r="B25">
        <v>220</v>
      </c>
      <c r="C25">
        <v>210</v>
      </c>
      <c r="D25">
        <v>226.67</v>
      </c>
      <c r="F25">
        <v>102.05</v>
      </c>
      <c r="G25">
        <v>142.87</v>
      </c>
      <c r="I25">
        <v>2788</v>
      </c>
      <c r="J25" s="59">
        <f t="shared" si="0"/>
        <v>49.5</v>
      </c>
      <c r="K25">
        <v>99</v>
      </c>
      <c r="L25" s="59">
        <v>8</v>
      </c>
      <c r="M25">
        <v>5.3936275460000003</v>
      </c>
      <c r="N25">
        <v>5.3471075309999998</v>
      </c>
      <c r="O25">
        <v>5.423495215</v>
      </c>
      <c r="P25">
        <v>7.9330797720000001</v>
      </c>
      <c r="Q25">
        <v>0</v>
      </c>
      <c r="R25">
        <v>0</v>
      </c>
      <c r="S25">
        <v>2342</v>
      </c>
      <c r="T25">
        <v>4.5938058560000004</v>
      </c>
      <c r="U25">
        <v>2.4185887689999999</v>
      </c>
    </row>
    <row r="26" spans="1:21">
      <c r="A26" s="58">
        <v>45369</v>
      </c>
      <c r="B26">
        <v>220</v>
      </c>
      <c r="C26">
        <v>210</v>
      </c>
      <c r="D26">
        <v>226.67</v>
      </c>
      <c r="E26" t="s">
        <v>408</v>
      </c>
      <c r="F26">
        <v>102.11</v>
      </c>
      <c r="G26">
        <v>142.94999999999999</v>
      </c>
      <c r="I26">
        <v>3447</v>
      </c>
      <c r="J26" s="59">
        <f t="shared" si="0"/>
        <v>49</v>
      </c>
      <c r="K26">
        <v>98</v>
      </c>
      <c r="L26" s="59">
        <v>7</v>
      </c>
      <c r="M26">
        <v>5.3936275460000003</v>
      </c>
      <c r="N26">
        <v>5.3471075309999998</v>
      </c>
      <c r="O26">
        <v>5.423495215</v>
      </c>
      <c r="P26">
        <v>8.1452595670000001</v>
      </c>
      <c r="Q26">
        <v>0</v>
      </c>
      <c r="R26">
        <v>1</v>
      </c>
      <c r="S26">
        <v>2593</v>
      </c>
      <c r="T26">
        <v>4.5862931299999996</v>
      </c>
      <c r="U26">
        <v>2.5408142819999999</v>
      </c>
    </row>
    <row r="27" spans="1:21">
      <c r="A27" s="58">
        <v>45376</v>
      </c>
      <c r="B27">
        <v>220</v>
      </c>
      <c r="C27">
        <v>210</v>
      </c>
      <c r="D27">
        <v>226.67</v>
      </c>
      <c r="E27" t="s">
        <v>409</v>
      </c>
      <c r="F27">
        <v>102.16</v>
      </c>
      <c r="G27">
        <v>143.03</v>
      </c>
      <c r="I27">
        <v>4504</v>
      </c>
      <c r="J27" s="59">
        <f t="shared" si="0"/>
        <v>48.5</v>
      </c>
      <c r="K27">
        <v>97</v>
      </c>
      <c r="L27" s="59">
        <v>9</v>
      </c>
      <c r="M27">
        <v>5.3936275460000003</v>
      </c>
      <c r="N27">
        <v>5.3471075309999998</v>
      </c>
      <c r="O27">
        <v>5.423495215</v>
      </c>
      <c r="P27">
        <v>8.4127211699999993</v>
      </c>
      <c r="Q27">
        <v>1</v>
      </c>
      <c r="R27">
        <v>0</v>
      </c>
      <c r="S27">
        <v>3033</v>
      </c>
      <c r="T27">
        <v>4.5739890689999996</v>
      </c>
      <c r="U27">
        <v>2.6567569070000001</v>
      </c>
    </row>
    <row r="28" spans="1:21">
      <c r="A28" s="58">
        <v>45383</v>
      </c>
      <c r="B28">
        <v>220</v>
      </c>
      <c r="C28">
        <v>210</v>
      </c>
      <c r="D28">
        <v>226.67</v>
      </c>
      <c r="F28">
        <v>102.22</v>
      </c>
      <c r="G28">
        <v>143.11000000000001</v>
      </c>
      <c r="I28">
        <v>2174</v>
      </c>
      <c r="J28" s="59">
        <f t="shared" si="0"/>
        <v>48</v>
      </c>
      <c r="K28">
        <v>96</v>
      </c>
      <c r="L28" s="59">
        <v>9.8000000000000007</v>
      </c>
      <c r="M28">
        <v>5.3936275460000003</v>
      </c>
      <c r="N28">
        <v>5.3471075309999998</v>
      </c>
      <c r="O28">
        <v>5.423495215</v>
      </c>
      <c r="P28">
        <v>7.6843240679999996</v>
      </c>
      <c r="Q28">
        <v>0</v>
      </c>
      <c r="R28">
        <v>0</v>
      </c>
      <c r="S28">
        <v>2285</v>
      </c>
      <c r="T28">
        <v>4.5679873950000003</v>
      </c>
      <c r="U28">
        <v>2.2823823860000001</v>
      </c>
    </row>
    <row r="29" spans="1:21">
      <c r="A29" s="58">
        <v>45390</v>
      </c>
      <c r="B29">
        <v>230</v>
      </c>
      <c r="C29">
        <v>210</v>
      </c>
      <c r="D29">
        <v>226.67</v>
      </c>
      <c r="F29">
        <v>102.28</v>
      </c>
      <c r="G29">
        <v>143.19</v>
      </c>
      <c r="H29" t="s">
        <v>410</v>
      </c>
      <c r="I29">
        <v>2207</v>
      </c>
      <c r="J29" s="59">
        <f t="shared" si="0"/>
        <v>50.5</v>
      </c>
      <c r="K29">
        <v>101</v>
      </c>
      <c r="L29" s="59">
        <v>11</v>
      </c>
      <c r="M29">
        <v>5.4380793089999999</v>
      </c>
      <c r="N29">
        <v>5.3471075309999998</v>
      </c>
      <c r="O29">
        <v>5.423495215</v>
      </c>
      <c r="P29">
        <v>7.6993894059999999</v>
      </c>
      <c r="Q29">
        <v>0</v>
      </c>
      <c r="R29">
        <v>0</v>
      </c>
      <c r="S29">
        <v>2293</v>
      </c>
      <c r="T29">
        <v>4.6145262809999998</v>
      </c>
      <c r="U29">
        <v>2.2170272049999999</v>
      </c>
    </row>
    <row r="30" spans="1:21">
      <c r="A30" s="58">
        <v>45397</v>
      </c>
      <c r="B30">
        <v>230</v>
      </c>
      <c r="C30">
        <v>210</v>
      </c>
      <c r="D30">
        <v>226.67</v>
      </c>
      <c r="F30">
        <v>102.34</v>
      </c>
      <c r="G30">
        <v>143.27000000000001</v>
      </c>
      <c r="I30">
        <v>2519</v>
      </c>
      <c r="J30" s="59">
        <f t="shared" si="0"/>
        <v>50.5</v>
      </c>
      <c r="K30">
        <v>101</v>
      </c>
      <c r="L30" s="59">
        <v>8</v>
      </c>
      <c r="M30">
        <v>5.4380793089999999</v>
      </c>
      <c r="N30">
        <v>5.3471075309999998</v>
      </c>
      <c r="O30">
        <v>5.423495215</v>
      </c>
      <c r="P30">
        <v>7.8316172760000002</v>
      </c>
      <c r="Q30">
        <v>0</v>
      </c>
      <c r="R30">
        <v>0</v>
      </c>
      <c r="S30">
        <v>2312</v>
      </c>
      <c r="T30">
        <v>4.613039144</v>
      </c>
      <c r="U30">
        <v>2.4051416809999999</v>
      </c>
    </row>
    <row r="31" spans="1:21">
      <c r="A31" s="58">
        <v>45404</v>
      </c>
      <c r="B31">
        <v>230</v>
      </c>
      <c r="C31">
        <v>210</v>
      </c>
      <c r="D31">
        <v>226.67</v>
      </c>
      <c r="F31">
        <v>102.4</v>
      </c>
      <c r="G31">
        <v>143.36000000000001</v>
      </c>
      <c r="I31">
        <v>2570</v>
      </c>
      <c r="J31" s="59">
        <f t="shared" si="0"/>
        <v>50.5</v>
      </c>
      <c r="K31">
        <v>101</v>
      </c>
      <c r="L31" s="59">
        <v>9</v>
      </c>
      <c r="M31">
        <v>5.4380793089999999</v>
      </c>
      <c r="N31">
        <v>5.3471075309999998</v>
      </c>
      <c r="O31">
        <v>5.423495215</v>
      </c>
      <c r="P31">
        <v>7.8516611779999996</v>
      </c>
      <c r="Q31">
        <v>0</v>
      </c>
      <c r="R31">
        <v>0</v>
      </c>
      <c r="S31">
        <v>2326</v>
      </c>
      <c r="T31">
        <v>4.6150215020000003</v>
      </c>
      <c r="U31">
        <v>2.4069451079999999</v>
      </c>
    </row>
    <row r="32" spans="1:21">
      <c r="A32" s="58">
        <v>45411</v>
      </c>
      <c r="B32">
        <v>230</v>
      </c>
      <c r="C32">
        <v>210</v>
      </c>
      <c r="D32">
        <v>226.67</v>
      </c>
      <c r="F32">
        <v>102.46</v>
      </c>
      <c r="G32">
        <v>143.44</v>
      </c>
      <c r="I32">
        <v>2366</v>
      </c>
      <c r="J32" s="59">
        <f t="shared" si="0"/>
        <v>51</v>
      </c>
      <c r="K32">
        <v>102</v>
      </c>
      <c r="L32" s="59">
        <v>10</v>
      </c>
      <c r="M32">
        <v>5.4380793089999999</v>
      </c>
      <c r="N32">
        <v>5.3471075309999998</v>
      </c>
      <c r="O32">
        <v>5.423495215</v>
      </c>
      <c r="P32">
        <v>7.7689560450000004</v>
      </c>
      <c r="Q32">
        <v>0</v>
      </c>
      <c r="R32">
        <v>0</v>
      </c>
      <c r="S32">
        <v>2660</v>
      </c>
      <c r="T32">
        <v>4.6265402120000001</v>
      </c>
      <c r="U32">
        <v>2.3194422100000001</v>
      </c>
    </row>
    <row r="33" spans="1:21">
      <c r="A33" s="58">
        <v>45418</v>
      </c>
      <c r="B33">
        <v>230</v>
      </c>
      <c r="C33">
        <v>210</v>
      </c>
      <c r="D33">
        <v>226.67</v>
      </c>
      <c r="F33">
        <v>102.51</v>
      </c>
      <c r="G33">
        <v>143.52000000000001</v>
      </c>
      <c r="I33">
        <v>2375</v>
      </c>
      <c r="J33" s="59">
        <f t="shared" si="0"/>
        <v>52</v>
      </c>
      <c r="K33">
        <v>104</v>
      </c>
      <c r="L33" s="59">
        <v>12</v>
      </c>
      <c r="M33">
        <v>5.4380793089999999</v>
      </c>
      <c r="N33">
        <v>5.3471075309999998</v>
      </c>
      <c r="O33">
        <v>5.423495215</v>
      </c>
      <c r="P33">
        <v>7.7727527160000003</v>
      </c>
      <c r="Q33">
        <v>0</v>
      </c>
      <c r="R33">
        <v>0</v>
      </c>
      <c r="S33">
        <v>2102</v>
      </c>
      <c r="T33">
        <v>4.6401511549999999</v>
      </c>
      <c r="U33">
        <v>2.3749057549999999</v>
      </c>
    </row>
    <row r="34" spans="1:21">
      <c r="A34" s="58">
        <v>45425</v>
      </c>
      <c r="B34">
        <v>230</v>
      </c>
      <c r="C34">
        <v>210</v>
      </c>
      <c r="D34">
        <v>226.67</v>
      </c>
      <c r="F34">
        <v>102.57</v>
      </c>
      <c r="G34">
        <v>143.6</v>
      </c>
      <c r="I34">
        <v>2409</v>
      </c>
      <c r="J34" s="59">
        <f t="shared" ref="J34:J65" si="1">K34/2</f>
        <v>52</v>
      </c>
      <c r="K34">
        <v>104</v>
      </c>
      <c r="L34" s="59">
        <v>12</v>
      </c>
      <c r="M34">
        <v>5.4380793089999999</v>
      </c>
      <c r="N34">
        <v>5.3471075309999998</v>
      </c>
      <c r="O34">
        <v>5.423495215</v>
      </c>
      <c r="P34">
        <v>7.786967003</v>
      </c>
      <c r="Q34">
        <v>0</v>
      </c>
      <c r="R34">
        <v>0</v>
      </c>
      <c r="S34">
        <v>1995</v>
      </c>
      <c r="T34">
        <v>4.646599996</v>
      </c>
      <c r="U34">
        <v>2.3951642739999999</v>
      </c>
    </row>
    <row r="35" spans="1:21">
      <c r="A35" s="58">
        <v>45432</v>
      </c>
      <c r="B35">
        <v>230</v>
      </c>
      <c r="C35">
        <v>210</v>
      </c>
      <c r="D35">
        <v>226.67</v>
      </c>
      <c r="F35">
        <v>102.63</v>
      </c>
      <c r="G35">
        <v>143.68</v>
      </c>
      <c r="I35">
        <v>2553</v>
      </c>
      <c r="J35" s="59">
        <f t="shared" si="1"/>
        <v>53</v>
      </c>
      <c r="K35">
        <v>106</v>
      </c>
      <c r="L35" s="59">
        <v>11</v>
      </c>
      <c r="M35">
        <v>5.4380793089999999</v>
      </c>
      <c r="N35">
        <v>5.3471075309999998</v>
      </c>
      <c r="O35">
        <v>5.423495215</v>
      </c>
      <c r="P35">
        <v>7.8450244170000003</v>
      </c>
      <c r="Q35">
        <v>0</v>
      </c>
      <c r="R35">
        <v>0</v>
      </c>
      <c r="S35">
        <v>1924</v>
      </c>
      <c r="T35">
        <v>4.6620229980000003</v>
      </c>
      <c r="U35">
        <v>2.3997118039999998</v>
      </c>
    </row>
    <row r="36" spans="1:21">
      <c r="A36" s="58">
        <v>45439</v>
      </c>
      <c r="B36">
        <v>230</v>
      </c>
      <c r="C36">
        <v>210</v>
      </c>
      <c r="D36">
        <v>226.67</v>
      </c>
      <c r="F36">
        <v>102.69</v>
      </c>
      <c r="G36">
        <v>143.76</v>
      </c>
      <c r="I36">
        <v>2597</v>
      </c>
      <c r="J36" s="59">
        <f t="shared" si="1"/>
        <v>53.5</v>
      </c>
      <c r="K36">
        <v>107</v>
      </c>
      <c r="L36" s="59">
        <v>10</v>
      </c>
      <c r="M36">
        <v>5.4380793089999999</v>
      </c>
      <c r="N36">
        <v>5.3471075309999998</v>
      </c>
      <c r="O36">
        <v>5.423495215</v>
      </c>
      <c r="P36">
        <v>7.8621122120000004</v>
      </c>
      <c r="Q36">
        <v>0</v>
      </c>
      <c r="R36">
        <v>0</v>
      </c>
      <c r="S36">
        <v>2126</v>
      </c>
      <c r="T36">
        <v>4.6747895279999998</v>
      </c>
      <c r="U36">
        <v>2.4078456039999998</v>
      </c>
    </row>
    <row r="37" spans="1:21">
      <c r="A37" s="58">
        <v>45446</v>
      </c>
      <c r="B37">
        <v>230</v>
      </c>
      <c r="C37">
        <v>210</v>
      </c>
      <c r="D37">
        <v>226.67</v>
      </c>
      <c r="F37">
        <v>102.75</v>
      </c>
      <c r="G37">
        <v>143.85</v>
      </c>
      <c r="I37">
        <v>2453</v>
      </c>
      <c r="J37" s="59">
        <f t="shared" si="1"/>
        <v>52</v>
      </c>
      <c r="K37">
        <v>104</v>
      </c>
      <c r="L37" s="59">
        <v>9.9600000000000009</v>
      </c>
      <c r="M37">
        <v>5.4380793089999999</v>
      </c>
      <c r="N37">
        <v>5.3471075309999998</v>
      </c>
      <c r="O37">
        <v>5.423495215</v>
      </c>
      <c r="P37">
        <v>7.8050670440000003</v>
      </c>
      <c r="Q37">
        <v>0</v>
      </c>
      <c r="R37">
        <v>0</v>
      </c>
      <c r="S37">
        <v>2283</v>
      </c>
      <c r="T37">
        <v>4.6480380859999997</v>
      </c>
      <c r="U37">
        <v>2.2985770720000001</v>
      </c>
    </row>
    <row r="38" spans="1:21">
      <c r="A38" s="58">
        <v>45453</v>
      </c>
      <c r="B38">
        <v>230</v>
      </c>
      <c r="C38">
        <v>210</v>
      </c>
      <c r="D38">
        <v>226.67</v>
      </c>
      <c r="F38">
        <v>102.81</v>
      </c>
      <c r="G38">
        <v>143.93</v>
      </c>
      <c r="I38">
        <v>2653</v>
      </c>
      <c r="J38" s="59">
        <f t="shared" si="1"/>
        <v>53</v>
      </c>
      <c r="K38">
        <v>106</v>
      </c>
      <c r="L38" s="59">
        <v>9</v>
      </c>
      <c r="M38">
        <v>5.4380793089999999</v>
      </c>
      <c r="N38">
        <v>5.3471075309999998</v>
      </c>
      <c r="O38">
        <v>5.423495215</v>
      </c>
      <c r="P38">
        <v>7.8834463540000002</v>
      </c>
      <c r="Q38">
        <v>0</v>
      </c>
      <c r="R38">
        <v>0</v>
      </c>
      <c r="S38">
        <v>2125</v>
      </c>
      <c r="T38">
        <v>4.6608886749999998</v>
      </c>
      <c r="U38">
        <v>2.4578779769999999</v>
      </c>
    </row>
    <row r="39" spans="1:21">
      <c r="A39" s="58">
        <v>45460</v>
      </c>
      <c r="B39">
        <v>230</v>
      </c>
      <c r="C39">
        <v>210</v>
      </c>
      <c r="D39">
        <v>226.67</v>
      </c>
      <c r="F39">
        <v>102.86</v>
      </c>
      <c r="G39">
        <v>144.01</v>
      </c>
      <c r="I39">
        <v>2506</v>
      </c>
      <c r="J39" s="59">
        <f t="shared" si="1"/>
        <v>54</v>
      </c>
      <c r="K39">
        <v>108</v>
      </c>
      <c r="L39" s="59">
        <v>10</v>
      </c>
      <c r="M39">
        <v>5.4380793089999999</v>
      </c>
      <c r="N39">
        <v>5.3471075309999998</v>
      </c>
      <c r="O39">
        <v>5.423495215</v>
      </c>
      <c r="P39">
        <v>7.8264431349999999</v>
      </c>
      <c r="Q39">
        <v>0</v>
      </c>
      <c r="R39">
        <v>0</v>
      </c>
      <c r="S39">
        <v>1972</v>
      </c>
      <c r="T39">
        <v>4.6801848899999996</v>
      </c>
      <c r="U39">
        <v>2.2375130959999998</v>
      </c>
    </row>
    <row r="40" spans="1:21">
      <c r="A40" s="58">
        <v>45467</v>
      </c>
      <c r="B40">
        <v>230</v>
      </c>
      <c r="C40">
        <v>210</v>
      </c>
      <c r="D40">
        <v>226.67</v>
      </c>
      <c r="F40">
        <v>102.92</v>
      </c>
      <c r="G40">
        <v>144.09</v>
      </c>
      <c r="I40">
        <v>2529</v>
      </c>
      <c r="J40" s="59">
        <f t="shared" si="1"/>
        <v>52.5</v>
      </c>
      <c r="K40">
        <v>105</v>
      </c>
      <c r="L40" s="59">
        <v>11</v>
      </c>
      <c r="M40">
        <v>5.4380793089999999</v>
      </c>
      <c r="N40">
        <v>5.3471075309999998</v>
      </c>
      <c r="O40">
        <v>5.423495215</v>
      </c>
      <c r="P40">
        <v>7.8355792470000001</v>
      </c>
      <c r="Q40">
        <v>0</v>
      </c>
      <c r="R40">
        <v>0</v>
      </c>
      <c r="S40">
        <v>1934</v>
      </c>
      <c r="T40">
        <v>4.6515765590000004</v>
      </c>
      <c r="U40">
        <v>2.4069451079999999</v>
      </c>
    </row>
    <row r="41" spans="1:21">
      <c r="A41" s="58">
        <v>45474</v>
      </c>
      <c r="B41">
        <v>230</v>
      </c>
      <c r="C41">
        <v>210</v>
      </c>
      <c r="D41">
        <v>226.67</v>
      </c>
      <c r="F41">
        <v>102.98</v>
      </c>
      <c r="G41">
        <v>144.16999999999999</v>
      </c>
      <c r="I41">
        <v>2612</v>
      </c>
      <c r="J41" s="59">
        <f t="shared" si="1"/>
        <v>53.5</v>
      </c>
      <c r="K41">
        <v>107</v>
      </c>
      <c r="L41" s="59">
        <v>12</v>
      </c>
      <c r="M41">
        <v>5.4380793089999999</v>
      </c>
      <c r="N41">
        <v>5.3471075309999998</v>
      </c>
      <c r="O41">
        <v>5.423495215</v>
      </c>
      <c r="P41">
        <v>7.8678714899999997</v>
      </c>
      <c r="Q41">
        <v>0</v>
      </c>
      <c r="R41">
        <v>0</v>
      </c>
      <c r="S41">
        <v>2343</v>
      </c>
      <c r="T41">
        <v>4.6714259819999997</v>
      </c>
      <c r="U41">
        <v>2.3786197790000001</v>
      </c>
    </row>
    <row r="42" spans="1:21">
      <c r="A42" s="58">
        <v>45481</v>
      </c>
      <c r="B42">
        <v>230</v>
      </c>
      <c r="C42">
        <v>210</v>
      </c>
      <c r="D42">
        <v>226.67</v>
      </c>
      <c r="F42">
        <v>103.04</v>
      </c>
      <c r="G42">
        <v>144.25</v>
      </c>
      <c r="I42">
        <v>2637</v>
      </c>
      <c r="J42" s="59">
        <f t="shared" si="1"/>
        <v>53.5</v>
      </c>
      <c r="K42">
        <v>107</v>
      </c>
      <c r="L42" s="59">
        <v>12</v>
      </c>
      <c r="M42">
        <v>5.4380793089999999</v>
      </c>
      <c r="N42">
        <v>5.3471075309999998</v>
      </c>
      <c r="O42">
        <v>5.423495215</v>
      </c>
      <c r="P42">
        <v>7.8773971859999996</v>
      </c>
      <c r="Q42">
        <v>0</v>
      </c>
      <c r="R42">
        <v>0</v>
      </c>
      <c r="S42">
        <v>2443</v>
      </c>
      <c r="T42">
        <v>4.6761876730000003</v>
      </c>
      <c r="U42">
        <v>2.409644165</v>
      </c>
    </row>
    <row r="43" spans="1:21">
      <c r="A43" s="58">
        <v>45488</v>
      </c>
      <c r="B43">
        <v>230</v>
      </c>
      <c r="C43">
        <v>210</v>
      </c>
      <c r="D43">
        <v>226.67</v>
      </c>
      <c r="F43">
        <v>103.1</v>
      </c>
      <c r="G43">
        <v>144.34</v>
      </c>
      <c r="I43">
        <v>2732</v>
      </c>
      <c r="J43" s="59">
        <f t="shared" si="1"/>
        <v>53.5</v>
      </c>
      <c r="K43">
        <v>107</v>
      </c>
      <c r="L43" s="59">
        <v>13</v>
      </c>
      <c r="M43">
        <v>5.4380793089999999</v>
      </c>
      <c r="N43">
        <v>5.3471075309999998</v>
      </c>
      <c r="O43">
        <v>5.423495215</v>
      </c>
      <c r="P43">
        <v>7.9127892209999997</v>
      </c>
      <c r="Q43">
        <v>0</v>
      </c>
      <c r="R43">
        <v>0</v>
      </c>
      <c r="S43">
        <v>2441</v>
      </c>
      <c r="T43">
        <v>4.6686143590000002</v>
      </c>
      <c r="U43">
        <v>2.4915511929999998</v>
      </c>
    </row>
    <row r="44" spans="1:21">
      <c r="A44" s="58">
        <v>45495</v>
      </c>
      <c r="B44">
        <v>230</v>
      </c>
      <c r="C44">
        <v>210</v>
      </c>
      <c r="D44">
        <v>226.67</v>
      </c>
      <c r="F44">
        <v>103.16</v>
      </c>
      <c r="G44">
        <v>144.41999999999999</v>
      </c>
      <c r="I44">
        <v>3019</v>
      </c>
      <c r="J44" s="59">
        <f t="shared" si="1"/>
        <v>54.5</v>
      </c>
      <c r="K44">
        <v>109</v>
      </c>
      <c r="L44" s="59">
        <v>11</v>
      </c>
      <c r="M44">
        <v>5.4380793089999999</v>
      </c>
      <c r="N44">
        <v>5.3471075309999998</v>
      </c>
      <c r="O44">
        <v>5.423495215</v>
      </c>
      <c r="P44">
        <v>8.0126809300000001</v>
      </c>
      <c r="Q44">
        <v>0</v>
      </c>
      <c r="R44">
        <v>0</v>
      </c>
      <c r="S44">
        <v>2229</v>
      </c>
      <c r="T44">
        <v>4.6946451920000003</v>
      </c>
      <c r="U44">
        <v>2.4604431779999998</v>
      </c>
    </row>
    <row r="45" spans="1:21">
      <c r="A45" s="58">
        <v>45502</v>
      </c>
      <c r="B45">
        <v>230</v>
      </c>
      <c r="C45">
        <v>220</v>
      </c>
      <c r="D45">
        <v>226.67</v>
      </c>
      <c r="F45">
        <v>103.22</v>
      </c>
      <c r="G45">
        <v>144.5</v>
      </c>
      <c r="I45">
        <v>2946</v>
      </c>
      <c r="J45" s="59">
        <f t="shared" si="1"/>
        <v>56</v>
      </c>
      <c r="K45">
        <v>112</v>
      </c>
      <c r="L45" s="59">
        <v>12</v>
      </c>
      <c r="M45">
        <v>5.4380793089999999</v>
      </c>
      <c r="N45">
        <v>5.3936275460000003</v>
      </c>
      <c r="O45">
        <v>5.423495215</v>
      </c>
      <c r="P45">
        <v>7.988203597</v>
      </c>
      <c r="Q45">
        <v>0</v>
      </c>
      <c r="R45">
        <v>0</v>
      </c>
      <c r="S45">
        <v>2394</v>
      </c>
      <c r="T45">
        <v>4.7213519399999999</v>
      </c>
      <c r="U45">
        <v>2.2512917990000001</v>
      </c>
    </row>
    <row r="46" spans="1:21">
      <c r="A46" s="58">
        <v>45509</v>
      </c>
      <c r="B46">
        <v>230</v>
      </c>
      <c r="C46">
        <v>220</v>
      </c>
      <c r="D46">
        <v>226.67</v>
      </c>
      <c r="F46">
        <v>103.27</v>
      </c>
      <c r="G46">
        <v>144.58000000000001</v>
      </c>
      <c r="I46">
        <v>2754</v>
      </c>
      <c r="J46" s="59">
        <f t="shared" si="1"/>
        <v>55.5</v>
      </c>
      <c r="K46">
        <v>111</v>
      </c>
      <c r="L46" s="59">
        <v>13</v>
      </c>
      <c r="M46">
        <v>5.4380793089999999</v>
      </c>
      <c r="N46">
        <v>5.3936275460000003</v>
      </c>
      <c r="O46">
        <v>5.423495215</v>
      </c>
      <c r="P46">
        <v>7.9208096790000004</v>
      </c>
      <c r="Q46">
        <v>0</v>
      </c>
      <c r="R46">
        <v>0</v>
      </c>
      <c r="S46">
        <v>2409</v>
      </c>
      <c r="T46">
        <v>4.7071851110000003</v>
      </c>
      <c r="U46">
        <v>2.2082744139999999</v>
      </c>
    </row>
    <row r="47" spans="1:21">
      <c r="A47" s="58">
        <v>45516</v>
      </c>
      <c r="B47">
        <v>230</v>
      </c>
      <c r="C47">
        <v>220</v>
      </c>
      <c r="D47">
        <v>226.67</v>
      </c>
      <c r="E47" t="s">
        <v>411</v>
      </c>
      <c r="F47">
        <v>103.33</v>
      </c>
      <c r="G47">
        <v>144.66999999999999</v>
      </c>
      <c r="I47">
        <v>3520</v>
      </c>
      <c r="J47" s="59">
        <f t="shared" si="1"/>
        <v>54.5</v>
      </c>
      <c r="K47">
        <v>109</v>
      </c>
      <c r="L47" s="59">
        <v>14</v>
      </c>
      <c r="M47">
        <v>5.4380793089999999</v>
      </c>
      <c r="N47">
        <v>5.3936275460000003</v>
      </c>
      <c r="O47">
        <v>5.423495215</v>
      </c>
      <c r="P47">
        <v>8.1662162689999995</v>
      </c>
      <c r="Q47">
        <v>0</v>
      </c>
      <c r="R47">
        <v>1</v>
      </c>
      <c r="S47">
        <v>2680</v>
      </c>
      <c r="T47">
        <v>4.6929978959999996</v>
      </c>
      <c r="U47">
        <v>2.5710843460000001</v>
      </c>
    </row>
    <row r="48" spans="1:21">
      <c r="A48" s="58">
        <v>45523</v>
      </c>
      <c r="B48">
        <v>230</v>
      </c>
      <c r="C48">
        <v>220</v>
      </c>
      <c r="D48">
        <v>226.67</v>
      </c>
      <c r="E48" t="s">
        <v>412</v>
      </c>
      <c r="F48">
        <v>103.39</v>
      </c>
      <c r="G48">
        <v>144.75</v>
      </c>
      <c r="I48">
        <v>5170</v>
      </c>
      <c r="J48" s="59">
        <f t="shared" si="1"/>
        <v>56</v>
      </c>
      <c r="K48">
        <v>112</v>
      </c>
      <c r="L48" s="59">
        <v>15</v>
      </c>
      <c r="M48">
        <v>5.4380793089999999</v>
      </c>
      <c r="N48">
        <v>5.3936275460000003</v>
      </c>
      <c r="O48">
        <v>5.423495215</v>
      </c>
      <c r="P48">
        <v>8.5506279680000006</v>
      </c>
      <c r="Q48">
        <v>1</v>
      </c>
      <c r="R48">
        <v>0</v>
      </c>
      <c r="S48">
        <v>3219</v>
      </c>
      <c r="T48">
        <v>4.7213519399999999</v>
      </c>
      <c r="U48">
        <v>2.5649493570000002</v>
      </c>
    </row>
    <row r="49" spans="1:21">
      <c r="A49" s="58">
        <v>45530</v>
      </c>
      <c r="B49">
        <v>230</v>
      </c>
      <c r="C49">
        <v>220</v>
      </c>
      <c r="D49">
        <v>226.67</v>
      </c>
      <c r="F49">
        <v>103.45</v>
      </c>
      <c r="G49">
        <v>144.83000000000001</v>
      </c>
      <c r="I49">
        <v>2537</v>
      </c>
      <c r="J49" s="59">
        <f t="shared" si="1"/>
        <v>55.5</v>
      </c>
      <c r="K49">
        <v>111</v>
      </c>
      <c r="L49" s="59">
        <v>12</v>
      </c>
      <c r="M49">
        <v>5.4380793089999999</v>
      </c>
      <c r="N49">
        <v>5.3936275460000003</v>
      </c>
      <c r="O49">
        <v>5.423495215</v>
      </c>
      <c r="P49">
        <v>7.8387375600000002</v>
      </c>
      <c r="Q49">
        <v>0</v>
      </c>
      <c r="R49">
        <v>0</v>
      </c>
      <c r="S49">
        <v>2496</v>
      </c>
      <c r="T49">
        <v>4.7100705960000004</v>
      </c>
      <c r="U49">
        <v>2.3456445819999998</v>
      </c>
    </row>
    <row r="50" spans="1:21">
      <c r="A50" s="58">
        <v>45537</v>
      </c>
      <c r="B50">
        <v>230</v>
      </c>
      <c r="C50">
        <v>220</v>
      </c>
      <c r="D50">
        <v>226.67</v>
      </c>
      <c r="F50">
        <v>103.51</v>
      </c>
      <c r="G50">
        <v>144.91</v>
      </c>
      <c r="I50">
        <v>2582</v>
      </c>
      <c r="J50" s="59">
        <f t="shared" si="1"/>
        <v>56</v>
      </c>
      <c r="K50">
        <v>112</v>
      </c>
      <c r="L50" s="59">
        <v>13</v>
      </c>
      <c r="M50">
        <v>5.4380793089999999</v>
      </c>
      <c r="N50">
        <v>5.3936275460000003</v>
      </c>
      <c r="O50">
        <v>5.423495215</v>
      </c>
      <c r="P50">
        <v>7.8563195710000002</v>
      </c>
      <c r="Q50">
        <v>0</v>
      </c>
      <c r="R50">
        <v>0</v>
      </c>
      <c r="S50">
        <v>2566</v>
      </c>
      <c r="T50">
        <v>4.7189452000000003</v>
      </c>
      <c r="U50">
        <v>2.4150205219999998</v>
      </c>
    </row>
    <row r="51" spans="1:21">
      <c r="A51" s="58">
        <v>45544</v>
      </c>
      <c r="B51">
        <v>230</v>
      </c>
      <c r="C51">
        <v>220</v>
      </c>
      <c r="D51">
        <v>226.67</v>
      </c>
      <c r="F51">
        <v>103.57</v>
      </c>
      <c r="G51">
        <v>144.99</v>
      </c>
      <c r="I51">
        <v>2699</v>
      </c>
      <c r="J51" s="59">
        <f t="shared" si="1"/>
        <v>56.5</v>
      </c>
      <c r="K51">
        <v>113</v>
      </c>
      <c r="L51" s="59">
        <v>14</v>
      </c>
      <c r="M51">
        <v>5.4380793089999999</v>
      </c>
      <c r="N51">
        <v>5.3936275460000003</v>
      </c>
      <c r="O51">
        <v>5.423495215</v>
      </c>
      <c r="P51">
        <v>7.9006366129999996</v>
      </c>
      <c r="Q51">
        <v>0</v>
      </c>
      <c r="R51">
        <v>0</v>
      </c>
      <c r="S51">
        <v>2474</v>
      </c>
      <c r="T51">
        <v>4.7280070959999998</v>
      </c>
      <c r="U51">
        <v>2.2170272049999999</v>
      </c>
    </row>
    <row r="52" spans="1:21">
      <c r="A52" s="58">
        <v>45551</v>
      </c>
      <c r="B52">
        <v>230</v>
      </c>
      <c r="C52">
        <v>220</v>
      </c>
      <c r="D52">
        <v>226.67</v>
      </c>
      <c r="F52">
        <v>103.63</v>
      </c>
      <c r="G52">
        <v>145.08000000000001</v>
      </c>
      <c r="I52">
        <v>2713</v>
      </c>
      <c r="J52" s="59">
        <f t="shared" si="1"/>
        <v>55.5</v>
      </c>
      <c r="K52">
        <v>111</v>
      </c>
      <c r="L52" s="59">
        <v>13</v>
      </c>
      <c r="M52">
        <v>5.4380793089999999</v>
      </c>
      <c r="N52">
        <v>5.3936275460000003</v>
      </c>
      <c r="O52">
        <v>5.423495215</v>
      </c>
      <c r="P52">
        <v>7.9058103129999999</v>
      </c>
      <c r="Q52">
        <v>0</v>
      </c>
      <c r="R52">
        <v>0</v>
      </c>
      <c r="S52">
        <v>2493</v>
      </c>
      <c r="T52">
        <v>4.7132170899999997</v>
      </c>
      <c r="U52">
        <v>2.1804174590000001</v>
      </c>
    </row>
    <row r="53" spans="1:21">
      <c r="A53" s="58">
        <v>45558</v>
      </c>
      <c r="B53">
        <v>230</v>
      </c>
      <c r="C53">
        <v>220</v>
      </c>
      <c r="D53">
        <v>226.67</v>
      </c>
      <c r="F53">
        <v>103.69</v>
      </c>
      <c r="G53">
        <v>145.16</v>
      </c>
      <c r="I53">
        <v>2866</v>
      </c>
      <c r="J53" s="59">
        <f t="shared" si="1"/>
        <v>56.5</v>
      </c>
      <c r="K53">
        <v>113</v>
      </c>
      <c r="L53" s="59">
        <v>15</v>
      </c>
      <c r="M53">
        <v>5.4380793089999999</v>
      </c>
      <c r="N53">
        <v>5.3936275460000003</v>
      </c>
      <c r="O53">
        <v>5.423495215</v>
      </c>
      <c r="P53">
        <v>7.9606726080000003</v>
      </c>
      <c r="Q53">
        <v>0</v>
      </c>
      <c r="R53">
        <v>0</v>
      </c>
      <c r="S53">
        <v>2570</v>
      </c>
      <c r="T53">
        <v>4.7234864129999998</v>
      </c>
      <c r="U53">
        <v>2.3711778840000002</v>
      </c>
    </row>
    <row r="54" spans="1:21">
      <c r="A54" s="58">
        <v>45565</v>
      </c>
      <c r="B54">
        <v>230</v>
      </c>
      <c r="C54">
        <v>220</v>
      </c>
      <c r="D54">
        <v>226.67</v>
      </c>
      <c r="E54" t="s">
        <v>406</v>
      </c>
      <c r="F54">
        <v>103.74</v>
      </c>
      <c r="G54">
        <v>145.24</v>
      </c>
      <c r="I54">
        <v>3605</v>
      </c>
      <c r="J54" s="59">
        <f t="shared" si="1"/>
        <v>57</v>
      </c>
      <c r="K54">
        <v>114</v>
      </c>
      <c r="L54" s="59">
        <v>12</v>
      </c>
      <c r="M54">
        <v>5.4380793089999999</v>
      </c>
      <c r="N54">
        <v>5.3936275460000003</v>
      </c>
      <c r="O54">
        <v>5.423495215</v>
      </c>
      <c r="P54">
        <v>8.1900770499999993</v>
      </c>
      <c r="Q54">
        <v>0</v>
      </c>
      <c r="R54">
        <v>1</v>
      </c>
      <c r="S54">
        <v>2881</v>
      </c>
      <c r="T54">
        <v>4.731802837</v>
      </c>
      <c r="U54">
        <v>2.5160822669999998</v>
      </c>
    </row>
    <row r="55" spans="1:21">
      <c r="A55" s="58">
        <v>45572</v>
      </c>
      <c r="B55">
        <v>230</v>
      </c>
      <c r="C55">
        <v>220</v>
      </c>
      <c r="D55">
        <v>226.67</v>
      </c>
      <c r="E55" t="s">
        <v>406</v>
      </c>
      <c r="F55">
        <v>103.8</v>
      </c>
      <c r="G55">
        <v>145.32</v>
      </c>
      <c r="I55">
        <v>3672</v>
      </c>
      <c r="J55" s="59">
        <f t="shared" si="1"/>
        <v>57</v>
      </c>
      <c r="K55">
        <v>114</v>
      </c>
      <c r="L55" s="59">
        <v>13</v>
      </c>
      <c r="M55">
        <v>5.4380793089999999</v>
      </c>
      <c r="N55">
        <v>5.3936275460000003</v>
      </c>
      <c r="O55">
        <v>5.423495215</v>
      </c>
      <c r="P55">
        <v>8.2084917520000005</v>
      </c>
      <c r="Q55">
        <v>0</v>
      </c>
      <c r="R55">
        <v>1</v>
      </c>
      <c r="S55">
        <v>3706</v>
      </c>
      <c r="T55">
        <v>4.7353208699999998</v>
      </c>
      <c r="U55">
        <v>2.4940315580000001</v>
      </c>
    </row>
    <row r="56" spans="1:21">
      <c r="A56" s="58">
        <v>45579</v>
      </c>
      <c r="B56">
        <v>230</v>
      </c>
      <c r="C56">
        <v>220</v>
      </c>
      <c r="D56">
        <v>226.67</v>
      </c>
      <c r="E56" t="s">
        <v>406</v>
      </c>
      <c r="F56">
        <v>103.86</v>
      </c>
      <c r="G56">
        <v>145.41</v>
      </c>
      <c r="I56">
        <v>3624</v>
      </c>
      <c r="J56" s="59">
        <f t="shared" si="1"/>
        <v>56.5</v>
      </c>
      <c r="K56">
        <v>113</v>
      </c>
      <c r="L56" s="59">
        <v>14</v>
      </c>
      <c r="M56">
        <v>5.4380793089999999</v>
      </c>
      <c r="N56">
        <v>5.3936275460000003</v>
      </c>
      <c r="O56">
        <v>5.423495215</v>
      </c>
      <c r="P56">
        <v>8.1953336669999999</v>
      </c>
      <c r="Q56">
        <v>0</v>
      </c>
      <c r="R56">
        <v>1</v>
      </c>
      <c r="S56">
        <v>4650</v>
      </c>
      <c r="T56">
        <v>4.7241081100000004</v>
      </c>
      <c r="U56">
        <v>2.517696473</v>
      </c>
    </row>
    <row r="57" spans="1:21">
      <c r="A57" s="58">
        <v>45586</v>
      </c>
      <c r="B57">
        <v>230</v>
      </c>
      <c r="C57">
        <v>220</v>
      </c>
      <c r="D57">
        <v>226.67</v>
      </c>
      <c r="E57" t="s">
        <v>406</v>
      </c>
      <c r="F57">
        <v>103.92</v>
      </c>
      <c r="G57">
        <v>145.49</v>
      </c>
      <c r="I57">
        <v>3782</v>
      </c>
      <c r="J57" s="59">
        <f t="shared" si="1"/>
        <v>56.5</v>
      </c>
      <c r="K57">
        <v>113</v>
      </c>
      <c r="L57" s="59">
        <v>15</v>
      </c>
      <c r="M57">
        <v>5.4380793089999999</v>
      </c>
      <c r="N57">
        <v>5.3936275460000003</v>
      </c>
      <c r="O57">
        <v>5.423495215</v>
      </c>
      <c r="P57">
        <v>8.2380082489999999</v>
      </c>
      <c r="Q57">
        <v>0</v>
      </c>
      <c r="R57">
        <v>1</v>
      </c>
      <c r="S57">
        <v>5986</v>
      </c>
      <c r="T57">
        <v>4.7298626300000004</v>
      </c>
      <c r="U57">
        <v>2.4466854370000002</v>
      </c>
    </row>
    <row r="58" spans="1:21">
      <c r="A58" s="58">
        <v>45593</v>
      </c>
      <c r="B58">
        <v>240</v>
      </c>
      <c r="C58">
        <v>220</v>
      </c>
      <c r="D58">
        <v>226.67</v>
      </c>
      <c r="E58" t="s">
        <v>407</v>
      </c>
      <c r="F58">
        <v>103.98</v>
      </c>
      <c r="G58">
        <v>145.57</v>
      </c>
      <c r="H58" t="s">
        <v>410</v>
      </c>
      <c r="I58">
        <v>5250</v>
      </c>
      <c r="J58" s="59">
        <f t="shared" si="1"/>
        <v>55.5</v>
      </c>
      <c r="K58">
        <v>111</v>
      </c>
      <c r="L58" s="59">
        <v>15</v>
      </c>
      <c r="M58">
        <v>5.4806389229999999</v>
      </c>
      <c r="N58">
        <v>5.3936275460000003</v>
      </c>
      <c r="O58">
        <v>5.423495215</v>
      </c>
      <c r="P58">
        <v>8.5659833560000003</v>
      </c>
      <c r="Q58">
        <v>1</v>
      </c>
      <c r="R58">
        <v>0</v>
      </c>
      <c r="S58">
        <v>4922</v>
      </c>
      <c r="T58">
        <v>4.7083583439999996</v>
      </c>
      <c r="U58">
        <v>2.5344901499999999</v>
      </c>
    </row>
    <row r="59" spans="1:21">
      <c r="A59" s="58">
        <v>45600</v>
      </c>
      <c r="B59">
        <v>240</v>
      </c>
      <c r="C59">
        <v>220</v>
      </c>
      <c r="D59">
        <v>226.67</v>
      </c>
      <c r="F59">
        <v>104.04</v>
      </c>
      <c r="G59">
        <v>145.66</v>
      </c>
      <c r="I59">
        <v>2730</v>
      </c>
      <c r="J59" s="59">
        <f t="shared" si="1"/>
        <v>55</v>
      </c>
      <c r="K59">
        <v>110</v>
      </c>
      <c r="L59" s="59">
        <v>15</v>
      </c>
      <c r="M59">
        <v>5.4806389229999999</v>
      </c>
      <c r="N59">
        <v>5.3936275460000003</v>
      </c>
      <c r="O59">
        <v>5.423495215</v>
      </c>
      <c r="P59">
        <v>7.9120568880000004</v>
      </c>
      <c r="Q59">
        <v>0</v>
      </c>
      <c r="R59">
        <v>0</v>
      </c>
      <c r="S59">
        <v>2374</v>
      </c>
      <c r="T59">
        <v>4.7037477489999997</v>
      </c>
      <c r="U59">
        <v>2.3427668829999999</v>
      </c>
    </row>
    <row r="60" spans="1:21">
      <c r="A60" s="58">
        <v>45607</v>
      </c>
      <c r="B60">
        <v>240</v>
      </c>
      <c r="C60">
        <v>220</v>
      </c>
      <c r="D60">
        <v>236.67</v>
      </c>
      <c r="F60">
        <v>104.1</v>
      </c>
      <c r="G60">
        <v>145.74</v>
      </c>
      <c r="I60">
        <v>2482</v>
      </c>
      <c r="J60" s="59">
        <f t="shared" si="1"/>
        <v>54.5</v>
      </c>
      <c r="K60">
        <v>109</v>
      </c>
      <c r="L60" s="59">
        <v>16</v>
      </c>
      <c r="M60">
        <v>5.4806389229999999</v>
      </c>
      <c r="N60">
        <v>5.3936275460000003</v>
      </c>
      <c r="O60">
        <v>5.4666667660000003</v>
      </c>
      <c r="P60">
        <v>7.8168199659999997</v>
      </c>
      <c r="Q60">
        <v>0</v>
      </c>
      <c r="R60">
        <v>0</v>
      </c>
      <c r="S60">
        <v>2339</v>
      </c>
      <c r="T60">
        <v>4.6948280579999997</v>
      </c>
      <c r="U60">
        <v>2.279316466</v>
      </c>
    </row>
    <row r="61" spans="1:21">
      <c r="A61" s="58">
        <v>45614</v>
      </c>
      <c r="B61">
        <v>240</v>
      </c>
      <c r="C61">
        <v>220</v>
      </c>
      <c r="D61">
        <v>236.67</v>
      </c>
      <c r="F61">
        <v>104.16</v>
      </c>
      <c r="G61">
        <v>145.82</v>
      </c>
      <c r="I61">
        <v>2311</v>
      </c>
      <c r="J61" s="59">
        <f t="shared" si="1"/>
        <v>54.5</v>
      </c>
      <c r="K61">
        <v>109</v>
      </c>
      <c r="L61" s="59">
        <v>14</v>
      </c>
      <c r="M61">
        <v>5.4806389229999999</v>
      </c>
      <c r="N61">
        <v>5.3936275460000003</v>
      </c>
      <c r="O61">
        <v>5.4666667660000003</v>
      </c>
      <c r="P61">
        <v>7.7454356100000004</v>
      </c>
      <c r="Q61">
        <v>0</v>
      </c>
      <c r="R61">
        <v>0</v>
      </c>
      <c r="S61">
        <v>2726</v>
      </c>
      <c r="T61">
        <v>4.6898789140000003</v>
      </c>
      <c r="U61">
        <v>2.2267833800000001</v>
      </c>
    </row>
    <row r="62" spans="1:21">
      <c r="A62" s="58">
        <v>45621</v>
      </c>
      <c r="B62">
        <v>240</v>
      </c>
      <c r="C62">
        <v>220</v>
      </c>
      <c r="D62">
        <v>236.67</v>
      </c>
      <c r="F62">
        <v>104.22</v>
      </c>
      <c r="G62">
        <v>145.9</v>
      </c>
      <c r="I62">
        <v>2587</v>
      </c>
      <c r="J62" s="59">
        <f t="shared" si="1"/>
        <v>56</v>
      </c>
      <c r="K62">
        <v>112</v>
      </c>
      <c r="L62" s="59">
        <v>13</v>
      </c>
      <c r="M62">
        <v>5.4806389229999999</v>
      </c>
      <c r="N62">
        <v>5.3936275460000003</v>
      </c>
      <c r="O62">
        <v>5.4666667660000003</v>
      </c>
      <c r="P62">
        <v>7.8582541819999996</v>
      </c>
      <c r="Q62">
        <v>0</v>
      </c>
      <c r="R62">
        <v>0</v>
      </c>
      <c r="S62">
        <v>2300</v>
      </c>
      <c r="T62">
        <v>4.7144729209999996</v>
      </c>
      <c r="U62">
        <v>2.3997118039999998</v>
      </c>
    </row>
    <row r="63" spans="1:21">
      <c r="A63" s="58">
        <v>45628</v>
      </c>
      <c r="B63">
        <v>240</v>
      </c>
      <c r="C63">
        <v>220</v>
      </c>
      <c r="D63">
        <v>236.67</v>
      </c>
      <c r="F63">
        <v>104.28</v>
      </c>
      <c r="G63">
        <v>145.99</v>
      </c>
      <c r="I63">
        <v>2504</v>
      </c>
      <c r="J63" s="59">
        <f t="shared" si="1"/>
        <v>55</v>
      </c>
      <c r="K63">
        <v>110</v>
      </c>
      <c r="L63" s="59">
        <v>12</v>
      </c>
      <c r="M63">
        <v>5.4806389229999999</v>
      </c>
      <c r="N63">
        <v>5.3936275460000003</v>
      </c>
      <c r="O63">
        <v>5.4666667660000003</v>
      </c>
      <c r="P63">
        <v>7.8256447319999998</v>
      </c>
      <c r="Q63">
        <v>0</v>
      </c>
      <c r="R63">
        <v>0</v>
      </c>
      <c r="S63">
        <v>2427</v>
      </c>
      <c r="T63">
        <v>4.6972934750000004</v>
      </c>
      <c r="U63">
        <v>2.3551775429999999</v>
      </c>
    </row>
    <row r="64" spans="1:21">
      <c r="A64" s="58">
        <v>45635</v>
      </c>
      <c r="B64">
        <v>240</v>
      </c>
      <c r="C64">
        <v>220</v>
      </c>
      <c r="D64">
        <v>236.67</v>
      </c>
      <c r="F64">
        <v>104.34</v>
      </c>
      <c r="G64">
        <v>146.07</v>
      </c>
      <c r="I64">
        <v>2428</v>
      </c>
      <c r="J64" s="59">
        <f t="shared" si="1"/>
        <v>54.5</v>
      </c>
      <c r="K64">
        <v>109</v>
      </c>
      <c r="L64" s="59">
        <v>16</v>
      </c>
      <c r="M64">
        <v>5.4806389229999999</v>
      </c>
      <c r="N64">
        <v>5.3936275460000003</v>
      </c>
      <c r="O64">
        <v>5.4666667660000003</v>
      </c>
      <c r="P64">
        <v>7.7948231520000002</v>
      </c>
      <c r="Q64">
        <v>0</v>
      </c>
      <c r="R64">
        <v>0</v>
      </c>
      <c r="S64">
        <v>2567</v>
      </c>
      <c r="T64">
        <v>4.6949194780000001</v>
      </c>
      <c r="U64">
        <v>2.3933394560000001</v>
      </c>
    </row>
    <row r="65" spans="1:21">
      <c r="A65" s="58">
        <v>45642</v>
      </c>
      <c r="B65">
        <v>240</v>
      </c>
      <c r="C65">
        <v>220</v>
      </c>
      <c r="D65">
        <v>236.67</v>
      </c>
      <c r="F65">
        <v>104.4</v>
      </c>
      <c r="G65">
        <v>146.15</v>
      </c>
      <c r="I65">
        <v>2464</v>
      </c>
      <c r="J65" s="59">
        <f t="shared" si="1"/>
        <v>55</v>
      </c>
      <c r="K65">
        <v>110</v>
      </c>
      <c r="L65" s="59">
        <v>16</v>
      </c>
      <c r="M65">
        <v>5.4806389229999999</v>
      </c>
      <c r="N65">
        <v>5.3936275460000003</v>
      </c>
      <c r="O65">
        <v>5.4666667660000003</v>
      </c>
      <c r="P65">
        <v>7.8095413249999996</v>
      </c>
      <c r="Q65">
        <v>0</v>
      </c>
      <c r="R65">
        <v>0</v>
      </c>
      <c r="S65">
        <v>2701</v>
      </c>
      <c r="T65">
        <v>4.703294584</v>
      </c>
      <c r="U65">
        <v>2.2823823860000001</v>
      </c>
    </row>
    <row r="66" spans="1:21">
      <c r="A66" s="58">
        <v>45649</v>
      </c>
      <c r="B66">
        <v>240</v>
      </c>
      <c r="C66">
        <v>220</v>
      </c>
      <c r="D66">
        <v>236.67</v>
      </c>
      <c r="F66">
        <v>104.45</v>
      </c>
      <c r="G66">
        <v>146.24</v>
      </c>
      <c r="I66">
        <v>2364</v>
      </c>
      <c r="J66" s="59">
        <f t="shared" ref="J66:J97" si="2">K66/2</f>
        <v>54.5</v>
      </c>
      <c r="K66">
        <v>109</v>
      </c>
      <c r="L66" s="59">
        <v>15</v>
      </c>
      <c r="M66">
        <v>5.4806389229999999</v>
      </c>
      <c r="N66">
        <v>5.3936275460000003</v>
      </c>
      <c r="O66">
        <v>5.4666667660000003</v>
      </c>
      <c r="P66">
        <v>7.7681103790000003</v>
      </c>
      <c r="Q66">
        <v>0</v>
      </c>
      <c r="R66">
        <v>0</v>
      </c>
      <c r="S66">
        <v>2774</v>
      </c>
      <c r="T66">
        <v>4.6950108899999998</v>
      </c>
      <c r="U66">
        <v>2.3095607070000002</v>
      </c>
    </row>
    <row r="67" spans="1:21">
      <c r="A67" s="58">
        <v>45656</v>
      </c>
      <c r="B67">
        <v>240</v>
      </c>
      <c r="C67">
        <v>220</v>
      </c>
      <c r="D67">
        <v>236.67</v>
      </c>
      <c r="F67">
        <v>104.51</v>
      </c>
      <c r="G67">
        <v>146.32</v>
      </c>
      <c r="I67">
        <v>2552</v>
      </c>
      <c r="J67" s="59">
        <f t="shared" si="2"/>
        <v>55</v>
      </c>
      <c r="K67">
        <v>110</v>
      </c>
      <c r="L67" s="59">
        <v>14</v>
      </c>
      <c r="M67">
        <v>5.4806389229999999</v>
      </c>
      <c r="N67">
        <v>5.3936275460000003</v>
      </c>
      <c r="O67">
        <v>5.4666667660000003</v>
      </c>
      <c r="P67">
        <v>7.8446326439999998</v>
      </c>
      <c r="Q67">
        <v>0</v>
      </c>
      <c r="R67">
        <v>0</v>
      </c>
      <c r="S67">
        <v>2820</v>
      </c>
      <c r="T67">
        <v>4.6982961640000003</v>
      </c>
      <c r="U67">
        <v>2.2834022740000002</v>
      </c>
    </row>
    <row r="68" spans="1:21">
      <c r="A68" s="58">
        <v>45663</v>
      </c>
      <c r="B68">
        <v>240</v>
      </c>
      <c r="C68">
        <v>220</v>
      </c>
      <c r="D68">
        <v>236.67</v>
      </c>
      <c r="F68">
        <v>104.57</v>
      </c>
      <c r="G68">
        <v>146.4</v>
      </c>
      <c r="I68">
        <v>2670</v>
      </c>
      <c r="J68" s="59">
        <f t="shared" si="2"/>
        <v>55</v>
      </c>
      <c r="K68">
        <v>110</v>
      </c>
      <c r="L68" s="59">
        <v>14</v>
      </c>
      <c r="M68">
        <v>5.4806389229999999</v>
      </c>
      <c r="N68">
        <v>5.3936275460000003</v>
      </c>
      <c r="O68">
        <v>5.4666667660000003</v>
      </c>
      <c r="P68">
        <v>7.8898337510000003</v>
      </c>
      <c r="Q68">
        <v>0</v>
      </c>
      <c r="R68">
        <v>0</v>
      </c>
      <c r="S68">
        <v>2602</v>
      </c>
      <c r="T68">
        <v>4.7013890439999999</v>
      </c>
      <c r="U68">
        <v>2.2935443480000002</v>
      </c>
    </row>
    <row r="69" spans="1:21">
      <c r="A69" s="58">
        <v>45670</v>
      </c>
      <c r="B69">
        <v>240</v>
      </c>
      <c r="C69">
        <v>220</v>
      </c>
      <c r="D69">
        <v>236.67</v>
      </c>
      <c r="F69">
        <v>104.63</v>
      </c>
      <c r="G69">
        <v>146.49</v>
      </c>
      <c r="I69">
        <v>2823</v>
      </c>
      <c r="J69" s="59">
        <f t="shared" si="2"/>
        <v>55.5</v>
      </c>
      <c r="K69">
        <v>111</v>
      </c>
      <c r="L69" s="59">
        <v>10</v>
      </c>
      <c r="M69">
        <v>5.4806389229999999</v>
      </c>
      <c r="N69">
        <v>5.3936275460000003</v>
      </c>
      <c r="O69">
        <v>5.4666667660000003</v>
      </c>
      <c r="P69">
        <v>7.9455554279999996</v>
      </c>
      <c r="Q69">
        <v>0</v>
      </c>
      <c r="R69">
        <v>0</v>
      </c>
      <c r="S69">
        <v>2523</v>
      </c>
      <c r="T69">
        <v>4.7077267740000002</v>
      </c>
      <c r="U69">
        <v>2.381396273</v>
      </c>
    </row>
    <row r="70" spans="1:21">
      <c r="A70" s="58">
        <v>45677</v>
      </c>
      <c r="B70">
        <v>240</v>
      </c>
      <c r="C70">
        <v>220</v>
      </c>
      <c r="D70">
        <v>236.67</v>
      </c>
      <c r="F70">
        <v>104.69</v>
      </c>
      <c r="G70">
        <v>146.57</v>
      </c>
      <c r="I70">
        <v>2588</v>
      </c>
      <c r="J70" s="59">
        <f t="shared" si="2"/>
        <v>55</v>
      </c>
      <c r="K70">
        <v>110</v>
      </c>
      <c r="L70" s="59">
        <v>10.01</v>
      </c>
      <c r="M70">
        <v>5.4806389229999999</v>
      </c>
      <c r="N70">
        <v>5.3936275460000003</v>
      </c>
      <c r="O70">
        <v>5.4666667660000003</v>
      </c>
      <c r="P70">
        <v>7.8586406560000004</v>
      </c>
      <c r="Q70">
        <v>0</v>
      </c>
      <c r="R70">
        <v>0</v>
      </c>
      <c r="S70">
        <v>2770</v>
      </c>
      <c r="T70">
        <v>4.7038383579999996</v>
      </c>
      <c r="U70">
        <v>2.3035845930000001</v>
      </c>
    </row>
    <row r="71" spans="1:21">
      <c r="A71" s="58">
        <v>45684</v>
      </c>
      <c r="B71">
        <v>240</v>
      </c>
      <c r="C71">
        <v>220</v>
      </c>
      <c r="D71">
        <v>236.67</v>
      </c>
      <c r="F71">
        <v>104.75</v>
      </c>
      <c r="G71">
        <v>146.65</v>
      </c>
      <c r="I71">
        <v>2757</v>
      </c>
      <c r="J71" s="59">
        <f t="shared" si="2"/>
        <v>56</v>
      </c>
      <c r="K71">
        <v>112</v>
      </c>
      <c r="L71" s="59">
        <v>11</v>
      </c>
      <c r="M71">
        <v>5.4806389229999999</v>
      </c>
      <c r="N71">
        <v>5.3936275460000003</v>
      </c>
      <c r="O71">
        <v>5.4666667660000003</v>
      </c>
      <c r="P71">
        <v>7.9218984109999999</v>
      </c>
      <c r="Q71">
        <v>0</v>
      </c>
      <c r="R71">
        <v>0</v>
      </c>
      <c r="S71">
        <v>2635</v>
      </c>
      <c r="T71">
        <v>4.7181416650000001</v>
      </c>
      <c r="U71">
        <v>2.3960754359999998</v>
      </c>
    </row>
    <row r="72" spans="1:21">
      <c r="A72" s="58">
        <v>45691</v>
      </c>
      <c r="B72">
        <v>240</v>
      </c>
      <c r="C72">
        <v>220</v>
      </c>
      <c r="D72">
        <v>236.67</v>
      </c>
      <c r="F72">
        <v>104.81</v>
      </c>
      <c r="G72">
        <v>146.74</v>
      </c>
      <c r="I72">
        <v>2728</v>
      </c>
      <c r="J72" s="59">
        <f t="shared" si="2"/>
        <v>56.5</v>
      </c>
      <c r="K72">
        <v>113</v>
      </c>
      <c r="L72" s="59">
        <v>12</v>
      </c>
      <c r="M72">
        <v>5.4806389229999999</v>
      </c>
      <c r="N72">
        <v>5.3936275460000003</v>
      </c>
      <c r="O72">
        <v>5.4666667660000003</v>
      </c>
      <c r="P72">
        <v>7.9113240190000003</v>
      </c>
      <c r="Q72">
        <v>0</v>
      </c>
      <c r="R72">
        <v>0</v>
      </c>
      <c r="S72">
        <v>2394</v>
      </c>
      <c r="T72">
        <v>4.7252616659999997</v>
      </c>
      <c r="U72">
        <v>2.3951642739999999</v>
      </c>
    </row>
    <row r="73" spans="1:21">
      <c r="A73" s="58">
        <v>45698</v>
      </c>
      <c r="B73">
        <v>240</v>
      </c>
      <c r="C73">
        <v>220</v>
      </c>
      <c r="D73">
        <v>236.67</v>
      </c>
      <c r="F73">
        <v>104.87</v>
      </c>
      <c r="G73">
        <v>146.82</v>
      </c>
      <c r="I73">
        <v>2742</v>
      </c>
      <c r="J73" s="59">
        <f t="shared" si="2"/>
        <v>56</v>
      </c>
      <c r="K73">
        <v>112</v>
      </c>
      <c r="L73" s="59">
        <v>12.57</v>
      </c>
      <c r="M73">
        <v>5.4806389229999999</v>
      </c>
      <c r="N73">
        <v>5.3936275460000003</v>
      </c>
      <c r="O73">
        <v>5.4666667660000003</v>
      </c>
      <c r="P73">
        <v>7.9164428600000001</v>
      </c>
      <c r="Q73">
        <v>0</v>
      </c>
      <c r="R73">
        <v>0</v>
      </c>
      <c r="S73">
        <v>2356</v>
      </c>
      <c r="T73">
        <v>4.7159062279999997</v>
      </c>
      <c r="U73">
        <v>2.5313130230000001</v>
      </c>
    </row>
    <row r="74" spans="1:21">
      <c r="A74" s="58">
        <v>45705</v>
      </c>
      <c r="B74">
        <v>240</v>
      </c>
      <c r="C74">
        <v>220</v>
      </c>
      <c r="D74">
        <v>236.67</v>
      </c>
      <c r="F74">
        <v>104.93</v>
      </c>
      <c r="G74">
        <v>146.9</v>
      </c>
      <c r="I74">
        <v>2683</v>
      </c>
      <c r="J74" s="59">
        <f t="shared" si="2"/>
        <v>58.5</v>
      </c>
      <c r="K74">
        <v>117</v>
      </c>
      <c r="L74" s="59">
        <v>14</v>
      </c>
      <c r="M74">
        <v>5.4806389229999999</v>
      </c>
      <c r="N74">
        <v>5.3936275460000003</v>
      </c>
      <c r="O74">
        <v>5.4666667660000003</v>
      </c>
      <c r="P74">
        <v>7.8946908499999999</v>
      </c>
      <c r="Q74">
        <v>0</v>
      </c>
      <c r="R74">
        <v>0</v>
      </c>
      <c r="S74">
        <v>2388</v>
      </c>
      <c r="T74">
        <v>4.7616609829999996</v>
      </c>
      <c r="U74">
        <v>2.2586332050000002</v>
      </c>
    </row>
    <row r="75" spans="1:21">
      <c r="A75" s="58">
        <v>45712</v>
      </c>
      <c r="B75">
        <v>240</v>
      </c>
      <c r="C75">
        <v>220</v>
      </c>
      <c r="D75">
        <v>236.67</v>
      </c>
      <c r="F75">
        <v>104.99</v>
      </c>
      <c r="G75">
        <v>146.99</v>
      </c>
      <c r="I75">
        <v>2717</v>
      </c>
      <c r="J75" s="59">
        <f t="shared" si="2"/>
        <v>58.5</v>
      </c>
      <c r="K75">
        <v>117</v>
      </c>
      <c r="L75" s="59">
        <v>15</v>
      </c>
      <c r="M75">
        <v>5.4806389229999999</v>
      </c>
      <c r="N75">
        <v>5.3936275460000003</v>
      </c>
      <c r="O75">
        <v>5.4666667660000003</v>
      </c>
      <c r="P75">
        <v>7.9072836090000003</v>
      </c>
      <c r="Q75">
        <v>0</v>
      </c>
      <c r="R75">
        <v>0</v>
      </c>
      <c r="S75">
        <v>2677</v>
      </c>
      <c r="T75">
        <v>4.7639671979999996</v>
      </c>
      <c r="U75">
        <v>2.4423470350000001</v>
      </c>
    </row>
    <row r="76" spans="1:21">
      <c r="A76" s="58">
        <v>45719</v>
      </c>
      <c r="B76">
        <v>240</v>
      </c>
      <c r="C76">
        <v>220</v>
      </c>
      <c r="D76">
        <v>236.67</v>
      </c>
      <c r="E76" t="s">
        <v>408</v>
      </c>
      <c r="F76">
        <v>105.05</v>
      </c>
      <c r="G76">
        <v>147.07</v>
      </c>
      <c r="I76">
        <v>3471</v>
      </c>
      <c r="J76" s="59">
        <f t="shared" si="2"/>
        <v>58.5</v>
      </c>
      <c r="K76">
        <v>117</v>
      </c>
      <c r="L76" s="59">
        <v>16</v>
      </c>
      <c r="M76">
        <v>5.4806389229999999</v>
      </c>
      <c r="N76">
        <v>5.3936275460000003</v>
      </c>
      <c r="O76">
        <v>5.4666667660000003</v>
      </c>
      <c r="P76">
        <v>8.1521980159999998</v>
      </c>
      <c r="Q76">
        <v>0</v>
      </c>
      <c r="R76">
        <v>1</v>
      </c>
      <c r="S76">
        <v>2876</v>
      </c>
      <c r="T76">
        <v>4.7631990499999999</v>
      </c>
      <c r="U76">
        <v>2.525728644</v>
      </c>
    </row>
    <row r="77" spans="1:21">
      <c r="A77" s="58">
        <v>45726</v>
      </c>
      <c r="B77">
        <v>240</v>
      </c>
      <c r="C77">
        <v>220</v>
      </c>
      <c r="D77">
        <v>236.67</v>
      </c>
      <c r="E77" t="s">
        <v>409</v>
      </c>
      <c r="F77">
        <v>105.11</v>
      </c>
      <c r="G77">
        <v>147.15</v>
      </c>
      <c r="I77">
        <v>5240</v>
      </c>
      <c r="J77" s="59">
        <f t="shared" si="2"/>
        <v>58</v>
      </c>
      <c r="K77">
        <v>116</v>
      </c>
      <c r="L77" s="59">
        <v>15</v>
      </c>
      <c r="M77">
        <v>5.4806389229999999</v>
      </c>
      <c r="N77">
        <v>5.3936275460000003</v>
      </c>
      <c r="O77">
        <v>5.4666667660000003</v>
      </c>
      <c r="P77">
        <v>8.5640767770000004</v>
      </c>
      <c r="Q77">
        <v>1</v>
      </c>
      <c r="R77">
        <v>0</v>
      </c>
      <c r="S77">
        <v>3537</v>
      </c>
      <c r="T77">
        <v>4.75376259</v>
      </c>
      <c r="U77">
        <v>2.6720775410000002</v>
      </c>
    </row>
    <row r="78" spans="1:21">
      <c r="A78" s="58">
        <v>45733</v>
      </c>
      <c r="B78">
        <v>240</v>
      </c>
      <c r="C78">
        <v>230</v>
      </c>
      <c r="D78">
        <v>236.67</v>
      </c>
      <c r="F78">
        <v>105.17</v>
      </c>
      <c r="G78">
        <v>147.24</v>
      </c>
      <c r="I78">
        <v>2680</v>
      </c>
      <c r="J78" s="59">
        <f t="shared" si="2"/>
        <v>57.5</v>
      </c>
      <c r="K78">
        <v>115</v>
      </c>
      <c r="L78" s="59">
        <v>14</v>
      </c>
      <c r="M78">
        <v>5.4806389229999999</v>
      </c>
      <c r="N78">
        <v>5.4380793089999999</v>
      </c>
      <c r="O78">
        <v>5.4666667660000003</v>
      </c>
      <c r="P78">
        <v>7.8935720739999997</v>
      </c>
      <c r="Q78">
        <v>0</v>
      </c>
      <c r="R78">
        <v>0</v>
      </c>
      <c r="S78">
        <v>2385</v>
      </c>
      <c r="T78">
        <v>4.7454537309999996</v>
      </c>
      <c r="U78">
        <v>2.2575877270000002</v>
      </c>
    </row>
    <row r="79" spans="1:21">
      <c r="A79" s="58">
        <v>45740</v>
      </c>
      <c r="B79">
        <v>240</v>
      </c>
      <c r="C79">
        <v>230</v>
      </c>
      <c r="D79">
        <v>236.67</v>
      </c>
      <c r="F79">
        <v>105.23</v>
      </c>
      <c r="G79">
        <v>147.32</v>
      </c>
      <c r="I79">
        <v>2807</v>
      </c>
      <c r="J79" s="59">
        <f t="shared" si="2"/>
        <v>57.5</v>
      </c>
      <c r="K79">
        <v>115</v>
      </c>
      <c r="L79" s="59">
        <v>16</v>
      </c>
      <c r="M79">
        <v>5.4806389229999999</v>
      </c>
      <c r="N79">
        <v>5.4380793089999999</v>
      </c>
      <c r="O79">
        <v>5.4666667660000003</v>
      </c>
      <c r="P79">
        <v>7.9398715759999998</v>
      </c>
      <c r="Q79">
        <v>0</v>
      </c>
      <c r="R79">
        <v>0</v>
      </c>
      <c r="S79">
        <v>2576</v>
      </c>
      <c r="T79">
        <v>4.7489241499999997</v>
      </c>
      <c r="U79">
        <v>2.3379522370000001</v>
      </c>
    </row>
    <row r="80" spans="1:21">
      <c r="A80" s="58">
        <v>45747</v>
      </c>
      <c r="B80">
        <v>240</v>
      </c>
      <c r="C80">
        <v>230</v>
      </c>
      <c r="D80">
        <v>236.67</v>
      </c>
      <c r="F80">
        <v>105.29</v>
      </c>
      <c r="G80">
        <v>147.4</v>
      </c>
      <c r="I80">
        <v>2982</v>
      </c>
      <c r="J80" s="59">
        <f t="shared" si="2"/>
        <v>57.5</v>
      </c>
      <c r="K80">
        <v>115</v>
      </c>
      <c r="L80" s="59">
        <v>17</v>
      </c>
      <c r="M80">
        <v>5.4806389229999999</v>
      </c>
      <c r="N80">
        <v>5.4380793089999999</v>
      </c>
      <c r="O80">
        <v>5.4666667660000003</v>
      </c>
      <c r="P80">
        <v>8.000349495</v>
      </c>
      <c r="Q80">
        <v>0</v>
      </c>
      <c r="R80">
        <v>0</v>
      </c>
      <c r="S80">
        <v>2695</v>
      </c>
      <c r="T80">
        <v>4.7414478039999999</v>
      </c>
      <c r="U80">
        <v>2.4353662040000001</v>
      </c>
    </row>
    <row r="81" spans="1:21">
      <c r="A81" s="58">
        <v>45754</v>
      </c>
      <c r="B81">
        <v>240</v>
      </c>
      <c r="C81">
        <v>230</v>
      </c>
      <c r="D81">
        <v>236.67</v>
      </c>
      <c r="F81">
        <v>105.35</v>
      </c>
      <c r="G81">
        <v>147.49</v>
      </c>
      <c r="I81">
        <v>2672</v>
      </c>
      <c r="J81" s="59">
        <f t="shared" si="2"/>
        <v>57.5</v>
      </c>
      <c r="K81">
        <v>115</v>
      </c>
      <c r="L81" s="59">
        <v>16</v>
      </c>
      <c r="M81">
        <v>5.4806389229999999</v>
      </c>
      <c r="N81">
        <v>5.4380793089999999</v>
      </c>
      <c r="O81">
        <v>5.4666667660000003</v>
      </c>
      <c r="P81">
        <v>7.8905825350000001</v>
      </c>
      <c r="Q81">
        <v>0</v>
      </c>
      <c r="R81">
        <v>0</v>
      </c>
      <c r="S81">
        <v>2549</v>
      </c>
      <c r="T81">
        <v>4.7462356259999998</v>
      </c>
      <c r="U81">
        <v>2.3702437409999999</v>
      </c>
    </row>
    <row r="82" spans="1:21">
      <c r="A82" s="58">
        <v>45761</v>
      </c>
      <c r="B82">
        <v>240</v>
      </c>
      <c r="C82">
        <v>230</v>
      </c>
      <c r="D82">
        <v>236.67</v>
      </c>
      <c r="F82">
        <v>105.41</v>
      </c>
      <c r="G82">
        <v>147.57</v>
      </c>
      <c r="I82">
        <v>2574</v>
      </c>
      <c r="J82" s="59">
        <f t="shared" si="2"/>
        <v>56.5</v>
      </c>
      <c r="K82">
        <v>113</v>
      </c>
      <c r="L82" s="59">
        <v>17</v>
      </c>
      <c r="M82">
        <v>5.4806389229999999</v>
      </c>
      <c r="N82">
        <v>5.4380793089999999</v>
      </c>
      <c r="O82">
        <v>5.4666667660000003</v>
      </c>
      <c r="P82">
        <v>7.8532163879999999</v>
      </c>
      <c r="Q82">
        <v>0</v>
      </c>
      <c r="R82">
        <v>0</v>
      </c>
      <c r="S82">
        <v>2663</v>
      </c>
      <c r="T82">
        <v>4.7234864129999998</v>
      </c>
      <c r="U82">
        <v>2.3841650799999998</v>
      </c>
    </row>
    <row r="83" spans="1:21">
      <c r="A83" s="58">
        <v>45768</v>
      </c>
      <c r="B83">
        <v>240</v>
      </c>
      <c r="C83">
        <v>230</v>
      </c>
      <c r="D83">
        <v>236.67</v>
      </c>
      <c r="F83">
        <v>105.47</v>
      </c>
      <c r="G83">
        <v>147.66</v>
      </c>
      <c r="I83">
        <v>2738</v>
      </c>
      <c r="J83" s="59">
        <f t="shared" si="2"/>
        <v>57.5</v>
      </c>
      <c r="K83">
        <v>115</v>
      </c>
      <c r="L83" s="59">
        <v>18</v>
      </c>
      <c r="M83">
        <v>5.4806389229999999</v>
      </c>
      <c r="N83">
        <v>5.4380793089999999</v>
      </c>
      <c r="O83">
        <v>5.4666667660000003</v>
      </c>
      <c r="P83">
        <v>7.9149830059999999</v>
      </c>
      <c r="Q83">
        <v>0</v>
      </c>
      <c r="R83">
        <v>0</v>
      </c>
      <c r="S83">
        <v>2482</v>
      </c>
      <c r="T83">
        <v>4.7451929640000001</v>
      </c>
      <c r="U83">
        <v>2.3551775429999999</v>
      </c>
    </row>
    <row r="84" spans="1:21">
      <c r="A84" s="58">
        <v>45775</v>
      </c>
      <c r="B84">
        <v>240</v>
      </c>
      <c r="C84">
        <v>230</v>
      </c>
      <c r="D84">
        <v>236.67</v>
      </c>
      <c r="F84">
        <v>105.53</v>
      </c>
      <c r="G84">
        <v>147.74</v>
      </c>
      <c r="I84">
        <v>2977</v>
      </c>
      <c r="J84" s="59">
        <f t="shared" si="2"/>
        <v>58.5</v>
      </c>
      <c r="K84">
        <v>117</v>
      </c>
      <c r="L84" s="59">
        <v>16</v>
      </c>
      <c r="M84">
        <v>5.4806389229999999</v>
      </c>
      <c r="N84">
        <v>5.4380793089999999</v>
      </c>
      <c r="O84">
        <v>5.4666667660000003</v>
      </c>
      <c r="P84">
        <v>7.9986713610000004</v>
      </c>
      <c r="Q84">
        <v>0</v>
      </c>
      <c r="R84">
        <v>0</v>
      </c>
      <c r="S84">
        <v>2491</v>
      </c>
      <c r="T84">
        <v>4.7590065309999998</v>
      </c>
      <c r="U84">
        <v>2.4714836290000002</v>
      </c>
    </row>
    <row r="85" spans="1:21">
      <c r="A85" s="58">
        <v>45782</v>
      </c>
      <c r="B85">
        <v>250</v>
      </c>
      <c r="C85">
        <v>230</v>
      </c>
      <c r="D85">
        <v>236.67</v>
      </c>
      <c r="F85">
        <v>105.59</v>
      </c>
      <c r="G85">
        <v>147.82</v>
      </c>
      <c r="H85" t="s">
        <v>410</v>
      </c>
      <c r="I85">
        <v>2661</v>
      </c>
      <c r="J85" s="59">
        <f t="shared" si="2"/>
        <v>58</v>
      </c>
      <c r="K85">
        <v>116</v>
      </c>
      <c r="L85" s="59">
        <v>17</v>
      </c>
      <c r="M85">
        <v>5.5214609179999998</v>
      </c>
      <c r="N85">
        <v>5.4380793089999999</v>
      </c>
      <c r="O85">
        <v>5.4666667660000003</v>
      </c>
      <c r="P85">
        <v>7.8864572710000003</v>
      </c>
      <c r="Q85">
        <v>0</v>
      </c>
      <c r="R85">
        <v>0</v>
      </c>
      <c r="S85">
        <v>2177</v>
      </c>
      <c r="T85">
        <v>4.7561730600000001</v>
      </c>
      <c r="U85">
        <v>2.3786197790000001</v>
      </c>
    </row>
    <row r="86" spans="1:21">
      <c r="A86" s="58">
        <v>45789</v>
      </c>
      <c r="B86">
        <v>250</v>
      </c>
      <c r="C86">
        <v>230</v>
      </c>
      <c r="D86">
        <v>236.67</v>
      </c>
      <c r="F86">
        <v>105.65</v>
      </c>
      <c r="G86">
        <v>147.91</v>
      </c>
      <c r="I86">
        <v>2706</v>
      </c>
      <c r="J86" s="59">
        <f t="shared" si="2"/>
        <v>59</v>
      </c>
      <c r="K86">
        <v>118</v>
      </c>
      <c r="L86" s="59">
        <v>18</v>
      </c>
      <c r="M86">
        <v>5.5214609179999998</v>
      </c>
      <c r="N86">
        <v>5.4380793089999999</v>
      </c>
      <c r="O86">
        <v>5.4666667660000003</v>
      </c>
      <c r="P86">
        <v>7.9032268090000004</v>
      </c>
      <c r="Q86">
        <v>0</v>
      </c>
      <c r="R86">
        <v>0</v>
      </c>
      <c r="S86">
        <v>2051</v>
      </c>
      <c r="T86">
        <v>4.7678840960000004</v>
      </c>
      <c r="U86">
        <v>2.2049722639999998</v>
      </c>
    </row>
    <row r="87" spans="1:21">
      <c r="A87" s="58">
        <v>45796</v>
      </c>
      <c r="B87">
        <v>250</v>
      </c>
      <c r="C87">
        <v>230</v>
      </c>
      <c r="D87">
        <v>236.67</v>
      </c>
      <c r="F87">
        <v>105.71</v>
      </c>
      <c r="G87">
        <v>147.99</v>
      </c>
      <c r="I87">
        <v>2779</v>
      </c>
      <c r="J87" s="59">
        <f t="shared" si="2"/>
        <v>59</v>
      </c>
      <c r="K87">
        <v>118</v>
      </c>
      <c r="L87" s="59">
        <v>16</v>
      </c>
      <c r="M87">
        <v>5.5214609179999998</v>
      </c>
      <c r="N87">
        <v>5.4380793089999999</v>
      </c>
      <c r="O87">
        <v>5.4666667660000003</v>
      </c>
      <c r="P87">
        <v>7.9298464299999996</v>
      </c>
      <c r="Q87">
        <v>0</v>
      </c>
      <c r="R87">
        <v>0</v>
      </c>
      <c r="S87">
        <v>2295</v>
      </c>
      <c r="T87">
        <v>4.7678840960000004</v>
      </c>
      <c r="U87">
        <v>2.3272777059999998</v>
      </c>
    </row>
    <row r="88" spans="1:21">
      <c r="A88" s="58">
        <v>45803</v>
      </c>
      <c r="B88">
        <v>250</v>
      </c>
      <c r="C88">
        <v>230</v>
      </c>
      <c r="D88">
        <v>236.67</v>
      </c>
      <c r="F88">
        <v>105.77</v>
      </c>
      <c r="G88">
        <v>148.08000000000001</v>
      </c>
      <c r="I88">
        <v>2634</v>
      </c>
      <c r="J88" s="59">
        <f t="shared" si="2"/>
        <v>60.5</v>
      </c>
      <c r="K88">
        <v>121</v>
      </c>
      <c r="L88" s="59">
        <v>17</v>
      </c>
      <c r="M88">
        <v>5.5214609179999998</v>
      </c>
      <c r="N88">
        <v>5.4380793089999999</v>
      </c>
      <c r="O88">
        <v>5.4666667660000003</v>
      </c>
      <c r="P88">
        <v>7.8762588820000001</v>
      </c>
      <c r="Q88">
        <v>0</v>
      </c>
      <c r="R88">
        <v>0</v>
      </c>
      <c r="S88">
        <v>2210</v>
      </c>
      <c r="T88">
        <v>4.7967817899999998</v>
      </c>
      <c r="U88">
        <v>2.225704049</v>
      </c>
    </row>
    <row r="89" spans="1:21">
      <c r="A89" s="58">
        <v>45810</v>
      </c>
      <c r="B89">
        <v>250</v>
      </c>
      <c r="C89">
        <v>230</v>
      </c>
      <c r="D89">
        <v>236.67</v>
      </c>
      <c r="F89">
        <v>105.83</v>
      </c>
      <c r="G89">
        <v>148.16</v>
      </c>
      <c r="I89">
        <v>2509</v>
      </c>
      <c r="J89" s="59">
        <f t="shared" si="2"/>
        <v>60.5</v>
      </c>
      <c r="K89">
        <v>121</v>
      </c>
      <c r="L89" s="59">
        <v>18</v>
      </c>
      <c r="M89">
        <v>5.5214609179999998</v>
      </c>
      <c r="N89">
        <v>5.4380793089999999</v>
      </c>
      <c r="O89">
        <v>5.4666667660000003</v>
      </c>
      <c r="P89">
        <v>7.8276395460000003</v>
      </c>
      <c r="Q89">
        <v>0</v>
      </c>
      <c r="R89">
        <v>0</v>
      </c>
      <c r="S89">
        <v>2272</v>
      </c>
      <c r="T89">
        <v>4.7986789319999996</v>
      </c>
      <c r="U89">
        <v>2.1246538849999999</v>
      </c>
    </row>
    <row r="90" spans="1:21">
      <c r="A90" s="58">
        <v>45817</v>
      </c>
      <c r="B90">
        <v>250</v>
      </c>
      <c r="C90">
        <v>230</v>
      </c>
      <c r="D90">
        <v>236.67</v>
      </c>
      <c r="F90">
        <v>105.89</v>
      </c>
      <c r="G90">
        <v>148.25</v>
      </c>
      <c r="I90">
        <v>2922</v>
      </c>
      <c r="J90" s="59">
        <f t="shared" si="2"/>
        <v>61.5</v>
      </c>
      <c r="K90">
        <v>123</v>
      </c>
      <c r="L90" s="59">
        <v>18</v>
      </c>
      <c r="M90">
        <v>5.5214609179999998</v>
      </c>
      <c r="N90">
        <v>5.4380793089999999</v>
      </c>
      <c r="O90">
        <v>5.4666667660000003</v>
      </c>
      <c r="P90">
        <v>7.9800235920000002</v>
      </c>
      <c r="Q90">
        <v>0</v>
      </c>
      <c r="R90">
        <v>0</v>
      </c>
      <c r="S90">
        <v>2379</v>
      </c>
      <c r="T90">
        <v>4.8134031249999998</v>
      </c>
      <c r="U90">
        <v>2.3427668829999999</v>
      </c>
    </row>
    <row r="91" spans="1:21">
      <c r="A91" s="58">
        <v>45824</v>
      </c>
      <c r="B91">
        <v>250</v>
      </c>
      <c r="C91">
        <v>230</v>
      </c>
      <c r="D91">
        <v>236.67</v>
      </c>
      <c r="F91">
        <v>105.95</v>
      </c>
      <c r="G91">
        <v>148.33000000000001</v>
      </c>
      <c r="I91">
        <v>2978</v>
      </c>
      <c r="J91" s="59">
        <f t="shared" si="2"/>
        <v>60</v>
      </c>
      <c r="K91">
        <v>120</v>
      </c>
      <c r="L91" s="59">
        <v>19</v>
      </c>
      <c r="M91">
        <v>5.5214609179999998</v>
      </c>
      <c r="N91">
        <v>5.4380793089999999</v>
      </c>
      <c r="O91">
        <v>5.4666667660000003</v>
      </c>
      <c r="P91">
        <v>7.9990072129999996</v>
      </c>
      <c r="Q91">
        <v>0</v>
      </c>
      <c r="R91">
        <v>0</v>
      </c>
      <c r="S91">
        <v>2300</v>
      </c>
      <c r="T91">
        <v>4.7844872340000002</v>
      </c>
      <c r="U91">
        <v>2.4923786649999999</v>
      </c>
    </row>
    <row r="92" spans="1:21">
      <c r="A92" s="58">
        <v>45831</v>
      </c>
      <c r="B92">
        <v>250</v>
      </c>
      <c r="C92">
        <v>230</v>
      </c>
      <c r="D92">
        <v>236.67</v>
      </c>
      <c r="F92">
        <v>106.01</v>
      </c>
      <c r="G92">
        <v>148.41</v>
      </c>
      <c r="I92">
        <v>2623</v>
      </c>
      <c r="J92" s="59">
        <f t="shared" si="2"/>
        <v>59.5</v>
      </c>
      <c r="K92">
        <v>119</v>
      </c>
      <c r="L92" s="59">
        <v>18</v>
      </c>
      <c r="M92">
        <v>5.5214609179999998</v>
      </c>
      <c r="N92">
        <v>5.4380793089999999</v>
      </c>
      <c r="O92">
        <v>5.4666667660000003</v>
      </c>
      <c r="P92">
        <v>7.8720739799999997</v>
      </c>
      <c r="Q92">
        <v>0</v>
      </c>
      <c r="R92">
        <v>0</v>
      </c>
      <c r="S92">
        <v>2200</v>
      </c>
      <c r="T92">
        <v>4.7824792010000001</v>
      </c>
      <c r="U92">
        <v>2.3905959700000001</v>
      </c>
    </row>
    <row r="93" spans="1:21">
      <c r="A93" s="58">
        <v>45838</v>
      </c>
      <c r="B93">
        <v>250</v>
      </c>
      <c r="C93">
        <v>230</v>
      </c>
      <c r="D93">
        <v>236.67</v>
      </c>
      <c r="F93">
        <v>106.07</v>
      </c>
      <c r="G93">
        <v>148.5</v>
      </c>
      <c r="I93">
        <v>2720</v>
      </c>
      <c r="J93" s="59">
        <f t="shared" si="2"/>
        <v>58.5</v>
      </c>
      <c r="K93">
        <v>117</v>
      </c>
      <c r="L93" s="59">
        <v>17</v>
      </c>
      <c r="M93">
        <v>5.5214609179999998</v>
      </c>
      <c r="N93">
        <v>5.4380793089999999</v>
      </c>
      <c r="O93">
        <v>5.4666667660000003</v>
      </c>
      <c r="P93">
        <v>7.9083871590000001</v>
      </c>
      <c r="Q93">
        <v>0</v>
      </c>
      <c r="R93">
        <v>0</v>
      </c>
      <c r="S93">
        <v>2100</v>
      </c>
      <c r="T93">
        <v>4.7635405220000004</v>
      </c>
      <c r="U93">
        <v>2.2945529210000002</v>
      </c>
    </row>
    <row r="94" spans="1:21">
      <c r="A94" s="58">
        <v>45845</v>
      </c>
      <c r="B94">
        <v>250</v>
      </c>
      <c r="C94">
        <v>230</v>
      </c>
      <c r="D94">
        <v>236.67</v>
      </c>
      <c r="F94">
        <v>106.13</v>
      </c>
      <c r="G94">
        <v>148.58000000000001</v>
      </c>
      <c r="I94">
        <v>2646</v>
      </c>
      <c r="J94" s="59">
        <f t="shared" si="2"/>
        <v>56.5</v>
      </c>
      <c r="K94">
        <v>113</v>
      </c>
      <c r="L94" s="59">
        <v>19</v>
      </c>
      <c r="M94">
        <v>5.5214609179999998</v>
      </c>
      <c r="N94">
        <v>5.4380793089999999</v>
      </c>
      <c r="O94">
        <v>5.4666667660000003</v>
      </c>
      <c r="P94">
        <v>7.8808043449999996</v>
      </c>
      <c r="Q94">
        <v>0</v>
      </c>
      <c r="R94">
        <v>0</v>
      </c>
      <c r="S94">
        <v>2200</v>
      </c>
      <c r="T94">
        <v>4.7315384849999997</v>
      </c>
      <c r="U94">
        <v>2.3135250329999999</v>
      </c>
    </row>
    <row r="95" spans="1:21">
      <c r="A95" s="58">
        <v>45852</v>
      </c>
      <c r="B95">
        <v>250</v>
      </c>
      <c r="C95">
        <v>230</v>
      </c>
      <c r="D95">
        <v>236.67</v>
      </c>
      <c r="F95">
        <v>106.19</v>
      </c>
      <c r="G95">
        <v>148.66999999999999</v>
      </c>
      <c r="I95">
        <v>2903</v>
      </c>
      <c r="J95" s="59">
        <f t="shared" si="2"/>
        <v>57</v>
      </c>
      <c r="K95">
        <v>114</v>
      </c>
      <c r="L95" s="59">
        <v>19</v>
      </c>
      <c r="M95">
        <v>5.5214609179999998</v>
      </c>
      <c r="N95">
        <v>5.4380793089999999</v>
      </c>
      <c r="O95">
        <v>5.4666667660000003</v>
      </c>
      <c r="P95">
        <v>7.9734999640000002</v>
      </c>
      <c r="Q95">
        <v>0</v>
      </c>
      <c r="R95">
        <v>0</v>
      </c>
      <c r="S95">
        <v>2145</v>
      </c>
      <c r="T95">
        <v>4.7338272180000001</v>
      </c>
      <c r="U95">
        <v>2.4798941079999999</v>
      </c>
    </row>
    <row r="96" spans="1:21">
      <c r="A96" s="58">
        <v>45859</v>
      </c>
      <c r="B96">
        <v>250</v>
      </c>
      <c r="C96">
        <v>230</v>
      </c>
      <c r="D96">
        <v>236.67</v>
      </c>
      <c r="F96">
        <v>106.25</v>
      </c>
      <c r="G96">
        <v>148.75</v>
      </c>
      <c r="I96">
        <v>2596</v>
      </c>
      <c r="J96" s="59">
        <f t="shared" si="2"/>
        <v>55.5</v>
      </c>
      <c r="K96">
        <v>111</v>
      </c>
      <c r="L96" s="59">
        <v>20</v>
      </c>
      <c r="M96">
        <v>5.5214609179999998</v>
      </c>
      <c r="N96">
        <v>5.4380793089999999</v>
      </c>
      <c r="O96">
        <v>5.4666667660000003</v>
      </c>
      <c r="P96">
        <v>7.8617270780000004</v>
      </c>
      <c r="Q96">
        <v>0</v>
      </c>
      <c r="R96">
        <v>0</v>
      </c>
      <c r="S96">
        <v>2222</v>
      </c>
      <c r="T96">
        <v>4.71124045</v>
      </c>
      <c r="U96">
        <v>2.4033349959999999</v>
      </c>
    </row>
    <row r="97" spans="1:21">
      <c r="A97" s="58">
        <v>45866</v>
      </c>
      <c r="B97">
        <v>250</v>
      </c>
      <c r="C97">
        <v>230</v>
      </c>
      <c r="D97">
        <v>236.67</v>
      </c>
      <c r="E97" t="s">
        <v>411</v>
      </c>
      <c r="F97">
        <v>138.21</v>
      </c>
      <c r="G97">
        <v>160</v>
      </c>
      <c r="I97">
        <v>3429</v>
      </c>
      <c r="J97" s="59">
        <f t="shared" si="2"/>
        <v>56</v>
      </c>
      <c r="K97">
        <v>112</v>
      </c>
      <c r="L97" s="59">
        <v>18</v>
      </c>
      <c r="M97">
        <v>5.5214609179999998</v>
      </c>
      <c r="N97">
        <v>5.4380793089999999</v>
      </c>
      <c r="O97">
        <v>5.4666667660000003</v>
      </c>
      <c r="P97">
        <v>8.140023952</v>
      </c>
      <c r="Q97">
        <v>0</v>
      </c>
      <c r="R97">
        <v>1</v>
      </c>
      <c r="S97">
        <v>2100</v>
      </c>
      <c r="T97">
        <v>4.7152794089999999</v>
      </c>
      <c r="U97">
        <v>2.5564518170000001</v>
      </c>
    </row>
    <row r="98" spans="1:21">
      <c r="A98" s="58">
        <v>45873</v>
      </c>
      <c r="B98">
        <v>250</v>
      </c>
      <c r="C98">
        <v>230</v>
      </c>
      <c r="D98">
        <v>236.67</v>
      </c>
      <c r="E98" t="s">
        <v>412</v>
      </c>
      <c r="F98">
        <v>138.28</v>
      </c>
      <c r="G98">
        <v>160.09</v>
      </c>
      <c r="I98">
        <v>4749</v>
      </c>
      <c r="J98" s="59">
        <f t="shared" ref="J98:J129" si="3">K98/2</f>
        <v>57</v>
      </c>
      <c r="K98">
        <v>114</v>
      </c>
      <c r="L98" s="59">
        <v>19</v>
      </c>
      <c r="M98">
        <v>5.5214609179999998</v>
      </c>
      <c r="N98">
        <v>5.4380793089999999</v>
      </c>
      <c r="O98">
        <v>5.4666667660000003</v>
      </c>
      <c r="P98">
        <v>8.4656893489999998</v>
      </c>
      <c r="Q98">
        <v>1</v>
      </c>
      <c r="R98">
        <v>0</v>
      </c>
      <c r="S98">
        <v>2300</v>
      </c>
      <c r="T98">
        <v>4.7378637279999998</v>
      </c>
      <c r="U98">
        <v>2.688527535</v>
      </c>
    </row>
    <row r="99" spans="1:21">
      <c r="A99" s="58">
        <v>45880</v>
      </c>
      <c r="B99">
        <v>260</v>
      </c>
      <c r="C99">
        <v>230</v>
      </c>
      <c r="D99">
        <v>236.67</v>
      </c>
      <c r="F99">
        <v>138.36000000000001</v>
      </c>
      <c r="G99">
        <v>160.18</v>
      </c>
      <c r="H99" t="s">
        <v>413</v>
      </c>
      <c r="I99">
        <v>2739</v>
      </c>
      <c r="J99" s="59">
        <f t="shared" si="3"/>
        <v>57.5</v>
      </c>
      <c r="K99">
        <v>115</v>
      </c>
      <c r="L99" s="59">
        <v>12</v>
      </c>
      <c r="M99">
        <v>5.5606816309999996</v>
      </c>
      <c r="N99">
        <v>5.4380793089999999</v>
      </c>
      <c r="O99">
        <v>5.4666667660000003</v>
      </c>
      <c r="P99">
        <v>7.9153481689999996</v>
      </c>
      <c r="Q99">
        <v>0</v>
      </c>
      <c r="R99">
        <v>0</v>
      </c>
      <c r="S99">
        <v>2160</v>
      </c>
      <c r="T99">
        <v>4.7453668159999998</v>
      </c>
      <c r="U99">
        <v>2.396985768</v>
      </c>
    </row>
    <row r="100" spans="1:21">
      <c r="A100" s="58">
        <v>45887</v>
      </c>
      <c r="B100">
        <v>260</v>
      </c>
      <c r="C100">
        <v>240</v>
      </c>
      <c r="D100">
        <v>246.67</v>
      </c>
      <c r="F100">
        <v>138.44</v>
      </c>
      <c r="G100">
        <v>160.27000000000001</v>
      </c>
      <c r="I100">
        <v>2658</v>
      </c>
      <c r="J100" s="59">
        <f t="shared" si="3"/>
        <v>57</v>
      </c>
      <c r="K100">
        <v>114</v>
      </c>
      <c r="L100" s="59">
        <v>14</v>
      </c>
      <c r="M100">
        <v>5.5606816309999996</v>
      </c>
      <c r="N100">
        <v>5.4806389229999999</v>
      </c>
      <c r="O100">
        <v>5.5080514110000003</v>
      </c>
      <c r="P100">
        <v>7.8853292389999998</v>
      </c>
      <c r="Q100">
        <v>0</v>
      </c>
      <c r="R100">
        <v>0</v>
      </c>
      <c r="S100">
        <v>2412</v>
      </c>
      <c r="T100">
        <v>4.7351452619999996</v>
      </c>
      <c r="U100">
        <v>2.4587337749999998</v>
      </c>
    </row>
    <row r="101" spans="1:21">
      <c r="A101" s="58">
        <v>45894</v>
      </c>
      <c r="B101">
        <v>260</v>
      </c>
      <c r="C101">
        <v>240</v>
      </c>
      <c r="D101">
        <v>246.67</v>
      </c>
      <c r="F101">
        <v>138.52000000000001</v>
      </c>
      <c r="G101">
        <v>160.36000000000001</v>
      </c>
      <c r="I101">
        <v>2891</v>
      </c>
      <c r="J101" s="59">
        <f t="shared" si="3"/>
        <v>58.5</v>
      </c>
      <c r="K101">
        <v>117</v>
      </c>
      <c r="L101" s="59">
        <v>16</v>
      </c>
      <c r="M101">
        <v>5.5606816309999996</v>
      </c>
      <c r="N101">
        <v>5.4806389229999999</v>
      </c>
      <c r="O101">
        <v>5.5080514110000003</v>
      </c>
      <c r="P101">
        <v>7.9693577419999997</v>
      </c>
      <c r="Q101">
        <v>0</v>
      </c>
      <c r="R101">
        <v>0</v>
      </c>
      <c r="S101">
        <v>2260</v>
      </c>
      <c r="T101">
        <v>4.7606342890000004</v>
      </c>
      <c r="U101">
        <v>2.4397349309999998</v>
      </c>
    </row>
    <row r="102" spans="1:21">
      <c r="A102" s="58">
        <v>45901</v>
      </c>
      <c r="B102">
        <v>260</v>
      </c>
      <c r="C102">
        <v>240</v>
      </c>
      <c r="D102">
        <v>256.67</v>
      </c>
      <c r="F102">
        <v>138.6</v>
      </c>
      <c r="G102">
        <v>160.44999999999999</v>
      </c>
      <c r="I102">
        <v>2808</v>
      </c>
      <c r="J102" s="59">
        <f t="shared" si="3"/>
        <v>60.5</v>
      </c>
      <c r="K102">
        <v>121</v>
      </c>
      <c r="L102" s="59">
        <v>17</v>
      </c>
      <c r="M102">
        <v>5.5606816309999996</v>
      </c>
      <c r="N102">
        <v>5.4806389229999999</v>
      </c>
      <c r="O102">
        <v>5.547791213</v>
      </c>
      <c r="P102">
        <v>7.9402277650000004</v>
      </c>
      <c r="Q102">
        <v>0</v>
      </c>
      <c r="R102">
        <v>0</v>
      </c>
      <c r="S102">
        <v>2435</v>
      </c>
      <c r="T102">
        <v>4.7940535009999996</v>
      </c>
      <c r="U102">
        <v>2.4132316130000002</v>
      </c>
    </row>
    <row r="103" spans="1:21">
      <c r="A103" s="58">
        <v>45908</v>
      </c>
      <c r="B103">
        <v>260</v>
      </c>
      <c r="C103">
        <v>240</v>
      </c>
      <c r="D103">
        <v>256.67</v>
      </c>
      <c r="F103">
        <v>138.68</v>
      </c>
      <c r="G103">
        <v>160.55000000000001</v>
      </c>
      <c r="I103">
        <v>2738</v>
      </c>
      <c r="J103" s="59">
        <f t="shared" si="3"/>
        <v>60.5</v>
      </c>
      <c r="K103">
        <v>121</v>
      </c>
      <c r="L103" s="59">
        <v>18</v>
      </c>
      <c r="M103">
        <v>5.5606816309999996</v>
      </c>
      <c r="N103">
        <v>5.4806389229999999</v>
      </c>
      <c r="O103">
        <v>5.547791213</v>
      </c>
      <c r="P103">
        <v>7.9149830059999999</v>
      </c>
      <c r="Q103">
        <v>0</v>
      </c>
      <c r="R103">
        <v>0</v>
      </c>
      <c r="S103">
        <v>2792</v>
      </c>
      <c r="T103">
        <v>4.7974420740000001</v>
      </c>
      <c r="U103">
        <v>2.3135250329999999</v>
      </c>
    </row>
    <row r="104" spans="1:21">
      <c r="A104" s="58">
        <v>45915</v>
      </c>
      <c r="B104">
        <v>260</v>
      </c>
      <c r="C104">
        <v>240</v>
      </c>
      <c r="D104">
        <v>256.67</v>
      </c>
      <c r="F104">
        <v>138.76</v>
      </c>
      <c r="G104">
        <v>160.63999999999999</v>
      </c>
      <c r="I104">
        <v>2667</v>
      </c>
      <c r="J104" s="59">
        <f t="shared" si="3"/>
        <v>61</v>
      </c>
      <c r="K104">
        <v>122</v>
      </c>
      <c r="L104" s="59">
        <v>17</v>
      </c>
      <c r="M104">
        <v>5.5606816309999996</v>
      </c>
      <c r="N104">
        <v>5.4806389229999999</v>
      </c>
      <c r="O104">
        <v>5.547791213</v>
      </c>
      <c r="P104">
        <v>7.8887095240000003</v>
      </c>
      <c r="Q104">
        <v>0</v>
      </c>
      <c r="R104">
        <v>0</v>
      </c>
      <c r="S104">
        <v>2569</v>
      </c>
      <c r="T104">
        <v>4.8080293940000001</v>
      </c>
      <c r="U104">
        <v>2.4388627110000001</v>
      </c>
    </row>
    <row r="105" spans="1:21">
      <c r="A105" s="58">
        <v>45922</v>
      </c>
      <c r="B105">
        <v>260</v>
      </c>
      <c r="C105">
        <v>240</v>
      </c>
      <c r="D105">
        <v>256.67</v>
      </c>
      <c r="E105" t="s">
        <v>406</v>
      </c>
      <c r="F105">
        <v>138.83000000000001</v>
      </c>
      <c r="G105">
        <v>160.72999999999999</v>
      </c>
      <c r="I105">
        <v>3596</v>
      </c>
      <c r="J105" s="59">
        <f t="shared" si="3"/>
        <v>62</v>
      </c>
      <c r="K105">
        <v>124</v>
      </c>
      <c r="L105" s="59">
        <v>16</v>
      </c>
      <c r="M105">
        <v>5.5606816309999996</v>
      </c>
      <c r="N105">
        <v>5.4806389229999999</v>
      </c>
      <c r="O105">
        <v>5.547791213</v>
      </c>
      <c r="P105">
        <v>8.187577396</v>
      </c>
      <c r="Q105">
        <v>0</v>
      </c>
      <c r="R105">
        <v>1</v>
      </c>
      <c r="S105">
        <v>3548</v>
      </c>
      <c r="T105">
        <v>4.8165649899999998</v>
      </c>
      <c r="U105">
        <v>2.5055259369999998</v>
      </c>
    </row>
    <row r="106" spans="1:21">
      <c r="A106" s="58">
        <v>45929</v>
      </c>
      <c r="B106">
        <v>260</v>
      </c>
      <c r="C106">
        <v>240</v>
      </c>
      <c r="D106">
        <v>256.67</v>
      </c>
      <c r="E106" t="s">
        <v>406</v>
      </c>
      <c r="F106">
        <v>133.57</v>
      </c>
      <c r="G106">
        <v>158.94999999999999</v>
      </c>
      <c r="I106">
        <v>3898</v>
      </c>
      <c r="J106" s="59">
        <f t="shared" si="3"/>
        <v>60.5</v>
      </c>
      <c r="K106">
        <v>121</v>
      </c>
      <c r="L106" s="59">
        <v>16</v>
      </c>
      <c r="M106">
        <v>5.5606816309999996</v>
      </c>
      <c r="N106">
        <v>5.4806389229999999</v>
      </c>
      <c r="O106">
        <v>5.547791213</v>
      </c>
      <c r="P106">
        <v>8.2682188799999992</v>
      </c>
      <c r="Q106">
        <v>0</v>
      </c>
      <c r="R106">
        <v>1</v>
      </c>
      <c r="S106">
        <v>3922</v>
      </c>
      <c r="T106">
        <v>4.7968643489999998</v>
      </c>
      <c r="U106">
        <v>2.6490076600000001</v>
      </c>
    </row>
    <row r="107" spans="1:21">
      <c r="A107" s="58">
        <v>45936</v>
      </c>
      <c r="B107">
        <v>260</v>
      </c>
      <c r="C107">
        <v>240</v>
      </c>
      <c r="D107">
        <v>256.67</v>
      </c>
      <c r="E107" t="s">
        <v>406</v>
      </c>
      <c r="F107">
        <v>128.30000000000001</v>
      </c>
      <c r="G107">
        <v>157.16999999999999</v>
      </c>
      <c r="I107">
        <v>3454</v>
      </c>
      <c r="J107" s="59">
        <f t="shared" si="3"/>
        <v>60.5</v>
      </c>
      <c r="K107">
        <v>121</v>
      </c>
      <c r="L107" s="59">
        <v>16</v>
      </c>
      <c r="M107">
        <v>5.5606816309999996</v>
      </c>
      <c r="N107">
        <v>5.4806389229999999</v>
      </c>
      <c r="O107">
        <v>5.547791213</v>
      </c>
      <c r="P107">
        <v>8.1472882589999998</v>
      </c>
      <c r="Q107">
        <v>0</v>
      </c>
      <c r="R107">
        <v>1</v>
      </c>
      <c r="S107">
        <v>5028</v>
      </c>
      <c r="T107">
        <v>4.7961210689999998</v>
      </c>
      <c r="U107">
        <v>2.4604431779999998</v>
      </c>
    </row>
    <row r="108" spans="1:21">
      <c r="A108" s="58">
        <v>45943</v>
      </c>
      <c r="B108">
        <v>260</v>
      </c>
      <c r="C108">
        <v>240</v>
      </c>
      <c r="D108">
        <v>256.67</v>
      </c>
      <c r="E108" t="s">
        <v>406</v>
      </c>
      <c r="F108">
        <v>123.03</v>
      </c>
      <c r="G108">
        <v>155.38999999999999</v>
      </c>
      <c r="I108">
        <v>3854</v>
      </c>
      <c r="J108" s="59">
        <f t="shared" si="3"/>
        <v>61</v>
      </c>
      <c r="K108">
        <v>122</v>
      </c>
      <c r="L108" s="59">
        <v>17</v>
      </c>
      <c r="M108">
        <v>5.5606816309999996</v>
      </c>
      <c r="N108">
        <v>5.4806389229999999</v>
      </c>
      <c r="O108">
        <v>5.547791213</v>
      </c>
      <c r="P108">
        <v>8.2568668489999997</v>
      </c>
      <c r="Q108">
        <v>0</v>
      </c>
      <c r="R108">
        <v>1</v>
      </c>
      <c r="S108">
        <v>6234</v>
      </c>
      <c r="T108">
        <v>4.8047584780000001</v>
      </c>
      <c r="U108">
        <v>2.5525652980000002</v>
      </c>
    </row>
    <row r="109" spans="1:21">
      <c r="A109" s="58">
        <v>45950</v>
      </c>
      <c r="B109">
        <v>260</v>
      </c>
      <c r="C109">
        <v>240</v>
      </c>
      <c r="D109">
        <v>256.67</v>
      </c>
      <c r="E109" t="s">
        <v>407</v>
      </c>
      <c r="F109">
        <v>117.74</v>
      </c>
      <c r="G109">
        <v>153.6</v>
      </c>
      <c r="I109">
        <v>5455</v>
      </c>
      <c r="J109" s="59">
        <f t="shared" si="3"/>
        <v>61</v>
      </c>
      <c r="K109">
        <v>122</v>
      </c>
      <c r="L109" s="59">
        <v>18</v>
      </c>
      <c r="M109">
        <v>5.5606816309999996</v>
      </c>
      <c r="N109">
        <v>5.4806389229999999</v>
      </c>
      <c r="O109">
        <v>5.547791213</v>
      </c>
      <c r="P109">
        <v>8.6042878980000008</v>
      </c>
      <c r="Q109">
        <v>1</v>
      </c>
      <c r="R109">
        <v>0</v>
      </c>
      <c r="S109">
        <v>5459</v>
      </c>
      <c r="T109">
        <v>4.8045127269999996</v>
      </c>
      <c r="U109">
        <v>2.7027025949999999</v>
      </c>
    </row>
    <row r="110" spans="1:21">
      <c r="A110" s="58">
        <v>45957</v>
      </c>
      <c r="B110">
        <v>260</v>
      </c>
      <c r="C110">
        <v>240</v>
      </c>
      <c r="D110">
        <v>256.67</v>
      </c>
      <c r="F110">
        <v>112.46</v>
      </c>
      <c r="G110">
        <v>151.81</v>
      </c>
      <c r="I110">
        <v>2561</v>
      </c>
      <c r="J110" s="59">
        <f t="shared" si="3"/>
        <v>60</v>
      </c>
      <c r="K110">
        <v>120</v>
      </c>
      <c r="L110" s="59">
        <v>16</v>
      </c>
      <c r="M110">
        <v>5.5606816309999996</v>
      </c>
      <c r="N110">
        <v>5.4806389229999999</v>
      </c>
      <c r="O110">
        <v>5.547791213</v>
      </c>
      <c r="P110">
        <v>7.8481530859999999</v>
      </c>
      <c r="Q110">
        <v>0</v>
      </c>
      <c r="R110">
        <v>0</v>
      </c>
      <c r="S110">
        <v>2336</v>
      </c>
      <c r="T110">
        <v>4.7869916180000001</v>
      </c>
      <c r="U110">
        <v>2.297572551</v>
      </c>
    </row>
    <row r="111" spans="1:21">
      <c r="A111" s="58">
        <v>45964</v>
      </c>
      <c r="B111">
        <v>260</v>
      </c>
      <c r="C111">
        <v>240</v>
      </c>
      <c r="D111">
        <v>256.67</v>
      </c>
      <c r="F111">
        <v>107.16</v>
      </c>
      <c r="G111">
        <v>150.03</v>
      </c>
      <c r="I111">
        <v>2770</v>
      </c>
      <c r="J111" s="59">
        <f t="shared" si="3"/>
        <v>60.5</v>
      </c>
      <c r="K111">
        <v>121</v>
      </c>
      <c r="L111" s="59">
        <v>17</v>
      </c>
      <c r="M111">
        <v>5.5606816309999996</v>
      </c>
      <c r="N111">
        <v>5.4806389229999999</v>
      </c>
      <c r="O111">
        <v>5.547791213</v>
      </c>
      <c r="P111">
        <v>7.9266025989999997</v>
      </c>
      <c r="Q111">
        <v>0</v>
      </c>
      <c r="R111">
        <v>0</v>
      </c>
      <c r="S111">
        <v>2395</v>
      </c>
      <c r="T111">
        <v>4.794219064</v>
      </c>
      <c r="U111">
        <v>2.5423890849999999</v>
      </c>
    </row>
    <row r="112" spans="1:21">
      <c r="A112" s="58">
        <v>45971</v>
      </c>
      <c r="B112">
        <v>260</v>
      </c>
      <c r="C112">
        <v>240</v>
      </c>
      <c r="D112">
        <v>256.67</v>
      </c>
      <c r="F112">
        <v>107.22</v>
      </c>
      <c r="G112">
        <v>150.11000000000001</v>
      </c>
      <c r="I112">
        <v>2725</v>
      </c>
      <c r="J112" s="59">
        <f t="shared" si="3"/>
        <v>60</v>
      </c>
      <c r="K112">
        <v>120</v>
      </c>
      <c r="L112" s="59">
        <v>18</v>
      </c>
      <c r="M112">
        <v>5.5606816309999996</v>
      </c>
      <c r="N112">
        <v>5.4806389229999999</v>
      </c>
      <c r="O112">
        <v>5.547791213</v>
      </c>
      <c r="P112">
        <v>7.9102237070000001</v>
      </c>
      <c r="Q112">
        <v>0</v>
      </c>
      <c r="R112">
        <v>0</v>
      </c>
      <c r="S112">
        <v>2837</v>
      </c>
      <c r="T112">
        <v>4.7879083229999999</v>
      </c>
      <c r="U112">
        <v>2.5225235129999999</v>
      </c>
    </row>
    <row r="113" spans="1:21">
      <c r="A113" s="58">
        <v>45978</v>
      </c>
      <c r="B113">
        <v>260</v>
      </c>
      <c r="C113">
        <v>240</v>
      </c>
      <c r="D113">
        <v>256.67</v>
      </c>
      <c r="F113">
        <v>107.28</v>
      </c>
      <c r="G113">
        <v>150.19999999999999</v>
      </c>
      <c r="I113">
        <v>2668</v>
      </c>
      <c r="J113" s="59">
        <f t="shared" si="3"/>
        <v>60.5</v>
      </c>
      <c r="K113">
        <v>121</v>
      </c>
      <c r="L113" s="59">
        <v>19</v>
      </c>
      <c r="M113">
        <v>5.5606816309999996</v>
      </c>
      <c r="N113">
        <v>5.4806389229999999</v>
      </c>
      <c r="O113">
        <v>5.547791213</v>
      </c>
      <c r="P113">
        <v>7.8890844070000004</v>
      </c>
      <c r="Q113">
        <v>0</v>
      </c>
      <c r="R113">
        <v>0</v>
      </c>
      <c r="S113">
        <v>2901</v>
      </c>
      <c r="T113">
        <v>4.7931424140000001</v>
      </c>
      <c r="U113">
        <v>2.3693087249999998</v>
      </c>
    </row>
    <row r="114" spans="1:21">
      <c r="A114" s="58">
        <v>45985</v>
      </c>
      <c r="B114">
        <v>260</v>
      </c>
      <c r="C114">
        <v>240</v>
      </c>
      <c r="D114">
        <v>256.67</v>
      </c>
      <c r="F114">
        <v>107.34</v>
      </c>
      <c r="G114">
        <v>150.28</v>
      </c>
      <c r="I114">
        <v>2707</v>
      </c>
      <c r="J114" s="59">
        <f t="shared" si="3"/>
        <v>60</v>
      </c>
      <c r="K114">
        <v>120</v>
      </c>
      <c r="L114" s="59">
        <v>20</v>
      </c>
      <c r="M114">
        <v>5.5606816309999996</v>
      </c>
      <c r="N114">
        <v>5.4806389229999999</v>
      </c>
      <c r="O114">
        <v>5.547791213</v>
      </c>
      <c r="P114">
        <v>7.9035962900000003</v>
      </c>
      <c r="Q114">
        <v>0</v>
      </c>
      <c r="R114">
        <v>0</v>
      </c>
      <c r="S114">
        <v>2746</v>
      </c>
      <c r="T114">
        <v>4.7909025859999996</v>
      </c>
      <c r="U114">
        <v>2.4697930119999998</v>
      </c>
    </row>
    <row r="115" spans="1:21">
      <c r="A115" s="58">
        <v>45992</v>
      </c>
      <c r="B115">
        <v>260</v>
      </c>
      <c r="C115">
        <v>240</v>
      </c>
      <c r="D115">
        <v>256.67</v>
      </c>
      <c r="F115">
        <v>107.4</v>
      </c>
      <c r="G115">
        <v>150.37</v>
      </c>
      <c r="I115">
        <v>2695</v>
      </c>
      <c r="J115" s="59">
        <f t="shared" si="3"/>
        <v>61</v>
      </c>
      <c r="K115">
        <v>122</v>
      </c>
      <c r="L115" s="59">
        <v>19</v>
      </c>
      <c r="M115">
        <v>5.5606816309999996</v>
      </c>
      <c r="N115">
        <v>5.4806389229999999</v>
      </c>
      <c r="O115">
        <v>5.547791213</v>
      </c>
      <c r="P115">
        <v>7.8991534830000001</v>
      </c>
      <c r="Q115">
        <v>0</v>
      </c>
      <c r="R115">
        <v>0</v>
      </c>
      <c r="S115">
        <v>2536</v>
      </c>
      <c r="T115">
        <v>4.8067223109999997</v>
      </c>
      <c r="U115">
        <v>2.4388627110000001</v>
      </c>
    </row>
    <row r="116" spans="1:21">
      <c r="A116" s="58">
        <v>45999</v>
      </c>
      <c r="B116">
        <v>260</v>
      </c>
      <c r="C116">
        <v>240</v>
      </c>
      <c r="D116">
        <v>256.67</v>
      </c>
      <c r="F116">
        <v>107.47</v>
      </c>
      <c r="G116">
        <v>150.44999999999999</v>
      </c>
      <c r="I116">
        <v>2525</v>
      </c>
      <c r="J116" s="59">
        <f t="shared" si="3"/>
        <v>61</v>
      </c>
      <c r="K116">
        <v>122</v>
      </c>
      <c r="L116" s="59">
        <v>20</v>
      </c>
      <c r="M116">
        <v>5.5606816309999996</v>
      </c>
      <c r="N116">
        <v>5.4806389229999999</v>
      </c>
      <c r="O116">
        <v>5.547791213</v>
      </c>
      <c r="P116">
        <v>7.8339963419999998</v>
      </c>
      <c r="Q116">
        <v>0</v>
      </c>
      <c r="R116">
        <v>0</v>
      </c>
      <c r="S116">
        <v>2785</v>
      </c>
      <c r="T116">
        <v>4.8022161380000004</v>
      </c>
      <c r="U116">
        <v>2.2005523669999998</v>
      </c>
    </row>
    <row r="117" spans="1:21">
      <c r="A117" s="58">
        <v>46006</v>
      </c>
      <c r="B117">
        <v>260</v>
      </c>
      <c r="C117">
        <v>240</v>
      </c>
      <c r="D117">
        <v>256.67</v>
      </c>
      <c r="F117">
        <v>107.53</v>
      </c>
      <c r="G117">
        <v>150.54</v>
      </c>
      <c r="I117">
        <v>2639</v>
      </c>
      <c r="J117" s="59">
        <f t="shared" si="3"/>
        <v>61</v>
      </c>
      <c r="K117">
        <v>122</v>
      </c>
      <c r="L117" s="59">
        <v>21</v>
      </c>
      <c r="M117">
        <v>5.5606816309999996</v>
      </c>
      <c r="N117">
        <v>5.4806389229999999</v>
      </c>
      <c r="O117">
        <v>5.547791213</v>
      </c>
      <c r="P117">
        <v>7.8781553369999999</v>
      </c>
      <c r="Q117">
        <v>0</v>
      </c>
      <c r="R117">
        <v>0</v>
      </c>
      <c r="S117">
        <v>2742</v>
      </c>
      <c r="T117">
        <v>4.8021340199999996</v>
      </c>
      <c r="U117">
        <v>2.4300984130000001</v>
      </c>
    </row>
    <row r="118" spans="1:21">
      <c r="A118" s="58">
        <v>46013</v>
      </c>
      <c r="B118">
        <v>260</v>
      </c>
      <c r="C118">
        <v>240</v>
      </c>
      <c r="D118">
        <v>256.67</v>
      </c>
      <c r="F118">
        <v>107.59</v>
      </c>
      <c r="G118">
        <v>150.62</v>
      </c>
      <c r="I118">
        <v>2521</v>
      </c>
      <c r="J118" s="59">
        <f t="shared" si="3"/>
        <v>60.5</v>
      </c>
      <c r="K118">
        <v>121</v>
      </c>
      <c r="L118" s="59">
        <v>20</v>
      </c>
      <c r="M118">
        <v>5.5606816309999996</v>
      </c>
      <c r="N118">
        <v>5.4806389229999999</v>
      </c>
      <c r="O118">
        <v>5.547791213</v>
      </c>
      <c r="P118">
        <v>7.8324109269999997</v>
      </c>
      <c r="Q118">
        <v>0</v>
      </c>
      <c r="R118">
        <v>0</v>
      </c>
      <c r="S118">
        <v>2898</v>
      </c>
      <c r="T118">
        <v>4.7921475539999996</v>
      </c>
      <c r="U118">
        <v>2.4069451079999999</v>
      </c>
    </row>
    <row r="119" spans="1:21">
      <c r="A119" s="58">
        <v>46020</v>
      </c>
      <c r="B119">
        <v>260</v>
      </c>
      <c r="C119">
        <v>240</v>
      </c>
      <c r="D119">
        <v>256.67</v>
      </c>
      <c r="F119">
        <v>107.65</v>
      </c>
      <c r="G119">
        <v>150.71</v>
      </c>
      <c r="I119">
        <v>2577</v>
      </c>
      <c r="J119" s="59">
        <f t="shared" si="3"/>
        <v>59.5</v>
      </c>
      <c r="K119">
        <v>119</v>
      </c>
      <c r="L119" s="59">
        <v>19</v>
      </c>
      <c r="M119">
        <v>5.5606816309999996</v>
      </c>
      <c r="N119">
        <v>5.4806389229999999</v>
      </c>
      <c r="O119">
        <v>5.547791213</v>
      </c>
      <c r="P119">
        <v>7.8543812109999998</v>
      </c>
      <c r="Q119">
        <v>0</v>
      </c>
      <c r="R119">
        <v>0</v>
      </c>
      <c r="S119">
        <v>2905</v>
      </c>
      <c r="T119">
        <v>4.7765993020000002</v>
      </c>
      <c r="U119">
        <v>2.4185887689999999</v>
      </c>
    </row>
    <row r="120" spans="1:21">
      <c r="A120" s="58">
        <v>46027</v>
      </c>
      <c r="B120">
        <v>260</v>
      </c>
      <c r="C120">
        <v>240</v>
      </c>
      <c r="D120">
        <v>256.67</v>
      </c>
      <c r="F120">
        <v>107.71</v>
      </c>
      <c r="G120">
        <v>150.79</v>
      </c>
      <c r="I120">
        <v>2735</v>
      </c>
      <c r="J120" s="59">
        <f t="shared" si="3"/>
        <v>60.5</v>
      </c>
      <c r="K120">
        <v>121</v>
      </c>
      <c r="L120" s="59">
        <v>18</v>
      </c>
      <c r="M120">
        <v>5.5606816309999996</v>
      </c>
      <c r="N120">
        <v>5.4806389229999999</v>
      </c>
      <c r="O120">
        <v>5.547791213</v>
      </c>
      <c r="P120">
        <v>7.9138867150000003</v>
      </c>
      <c r="Q120">
        <v>0</v>
      </c>
      <c r="R120">
        <v>0</v>
      </c>
      <c r="S120">
        <v>3286</v>
      </c>
      <c r="T120">
        <v>4.7936394729999998</v>
      </c>
      <c r="U120">
        <v>2.3272777059999998</v>
      </c>
    </row>
    <row r="121" spans="1:21">
      <c r="A121" s="58">
        <v>46034</v>
      </c>
      <c r="B121">
        <v>260</v>
      </c>
      <c r="C121">
        <v>240</v>
      </c>
      <c r="D121">
        <v>256.67</v>
      </c>
      <c r="F121">
        <v>107.77</v>
      </c>
      <c r="G121">
        <v>150.88</v>
      </c>
      <c r="I121">
        <v>2451</v>
      </c>
      <c r="J121" s="59">
        <f t="shared" si="3"/>
        <v>58</v>
      </c>
      <c r="K121">
        <v>116</v>
      </c>
      <c r="L121" s="59">
        <v>19</v>
      </c>
      <c r="M121">
        <v>5.5606816309999996</v>
      </c>
      <c r="N121">
        <v>5.4806389229999999</v>
      </c>
      <c r="O121">
        <v>5.547791213</v>
      </c>
      <c r="P121">
        <v>7.8042513839999996</v>
      </c>
      <c r="Q121">
        <v>0</v>
      </c>
      <c r="R121">
        <v>0</v>
      </c>
      <c r="S121">
        <v>2969</v>
      </c>
      <c r="T121">
        <v>4.7567747699999998</v>
      </c>
      <c r="U121">
        <v>2.392425797</v>
      </c>
    </row>
    <row r="122" spans="1:21">
      <c r="A122" s="58">
        <v>46041</v>
      </c>
      <c r="B122">
        <v>260</v>
      </c>
      <c r="C122">
        <v>240</v>
      </c>
      <c r="D122">
        <v>256.67</v>
      </c>
      <c r="F122">
        <v>107.83</v>
      </c>
      <c r="G122">
        <v>150.97</v>
      </c>
      <c r="I122">
        <v>2569</v>
      </c>
      <c r="J122" s="59">
        <f t="shared" si="3"/>
        <v>59</v>
      </c>
      <c r="K122">
        <v>118</v>
      </c>
      <c r="L122" s="59">
        <v>20</v>
      </c>
      <c r="M122">
        <v>5.5606816309999996</v>
      </c>
      <c r="N122">
        <v>5.4806389229999999</v>
      </c>
      <c r="O122">
        <v>5.547791213</v>
      </c>
      <c r="P122">
        <v>7.8512719969999996</v>
      </c>
      <c r="Q122">
        <v>0</v>
      </c>
      <c r="R122">
        <v>0</v>
      </c>
      <c r="S122">
        <v>2717</v>
      </c>
      <c r="T122">
        <v>4.7667787009999998</v>
      </c>
      <c r="U122">
        <v>2.4006188329999998</v>
      </c>
    </row>
    <row r="123" spans="1:21">
      <c r="A123" s="58">
        <v>46048</v>
      </c>
      <c r="B123">
        <v>260</v>
      </c>
      <c r="C123">
        <v>240</v>
      </c>
      <c r="D123">
        <v>256.67</v>
      </c>
      <c r="F123">
        <v>107.89</v>
      </c>
      <c r="G123">
        <v>151.05000000000001</v>
      </c>
      <c r="I123">
        <v>2538</v>
      </c>
      <c r="J123" s="59">
        <f t="shared" si="3"/>
        <v>57.5</v>
      </c>
      <c r="K123">
        <v>115</v>
      </c>
      <c r="L123" s="59">
        <v>21</v>
      </c>
      <c r="M123">
        <v>5.5606816309999996</v>
      </c>
      <c r="N123">
        <v>5.4806389229999999</v>
      </c>
      <c r="O123">
        <v>5.547791213</v>
      </c>
      <c r="P123">
        <v>7.8391316480000004</v>
      </c>
      <c r="Q123">
        <v>0</v>
      </c>
      <c r="R123">
        <v>0</v>
      </c>
      <c r="S123">
        <v>2906</v>
      </c>
      <c r="T123">
        <v>4.745627539</v>
      </c>
      <c r="U123">
        <v>2.511223958</v>
      </c>
    </row>
    <row r="124" spans="1:21">
      <c r="A124" s="58">
        <v>46055</v>
      </c>
      <c r="B124">
        <v>260</v>
      </c>
      <c r="C124">
        <v>240</v>
      </c>
      <c r="D124">
        <v>256.67</v>
      </c>
      <c r="F124">
        <v>107.96</v>
      </c>
      <c r="G124">
        <v>151.13999999999999</v>
      </c>
      <c r="I124">
        <v>2505</v>
      </c>
      <c r="J124" s="59">
        <f t="shared" si="3"/>
        <v>58.5</v>
      </c>
      <c r="K124">
        <v>117</v>
      </c>
      <c r="L124" s="59">
        <v>20</v>
      </c>
      <c r="M124">
        <v>5.5606816309999996</v>
      </c>
      <c r="N124">
        <v>5.4806389229999999</v>
      </c>
      <c r="O124">
        <v>5.547791213</v>
      </c>
      <c r="P124">
        <v>7.8260440139999998</v>
      </c>
      <c r="Q124">
        <v>0</v>
      </c>
      <c r="R124">
        <v>0</v>
      </c>
      <c r="S124">
        <v>2980</v>
      </c>
      <c r="T124">
        <v>4.7643084069999997</v>
      </c>
      <c r="U124">
        <v>2.4440846550000002</v>
      </c>
    </row>
    <row r="125" spans="1:21">
      <c r="A125" s="58">
        <v>46062</v>
      </c>
      <c r="B125">
        <v>260</v>
      </c>
      <c r="C125">
        <v>240</v>
      </c>
      <c r="D125">
        <v>256.67</v>
      </c>
      <c r="F125">
        <v>108.02</v>
      </c>
      <c r="G125">
        <v>151.22</v>
      </c>
      <c r="I125">
        <v>2634</v>
      </c>
      <c r="J125" s="59">
        <f t="shared" si="3"/>
        <v>58</v>
      </c>
      <c r="K125">
        <v>116</v>
      </c>
      <c r="L125" s="59">
        <v>21</v>
      </c>
      <c r="M125">
        <v>5.5606816309999996</v>
      </c>
      <c r="N125">
        <v>5.4806389229999999</v>
      </c>
      <c r="O125">
        <v>5.547791213</v>
      </c>
      <c r="P125">
        <v>7.8762588820000001</v>
      </c>
      <c r="Q125">
        <v>0</v>
      </c>
      <c r="R125">
        <v>0</v>
      </c>
      <c r="S125">
        <v>3282</v>
      </c>
      <c r="T125">
        <v>4.7571184420000003</v>
      </c>
      <c r="U125">
        <v>2.4176978999999998</v>
      </c>
    </row>
    <row r="126" spans="1:21">
      <c r="A126" s="58">
        <v>46069</v>
      </c>
      <c r="B126">
        <v>260</v>
      </c>
      <c r="C126">
        <v>240</v>
      </c>
      <c r="D126">
        <v>256.67</v>
      </c>
      <c r="F126">
        <v>108.08</v>
      </c>
      <c r="G126">
        <v>151.31</v>
      </c>
      <c r="I126">
        <v>2816</v>
      </c>
      <c r="J126" s="59">
        <f t="shared" si="3"/>
        <v>60.5</v>
      </c>
      <c r="K126">
        <v>121</v>
      </c>
      <c r="L126" s="59">
        <v>22</v>
      </c>
      <c r="M126">
        <v>5.5606816309999996</v>
      </c>
      <c r="N126">
        <v>5.4806389229999999</v>
      </c>
      <c r="O126">
        <v>5.547791213</v>
      </c>
      <c r="P126">
        <v>7.9430727169999997</v>
      </c>
      <c r="Q126">
        <v>0</v>
      </c>
      <c r="R126">
        <v>0</v>
      </c>
      <c r="S126">
        <v>3252</v>
      </c>
      <c r="T126">
        <v>4.7936394729999998</v>
      </c>
      <c r="U126">
        <v>2.541601993</v>
      </c>
    </row>
    <row r="127" spans="1:21">
      <c r="A127" s="58">
        <v>46076</v>
      </c>
      <c r="B127">
        <v>260</v>
      </c>
      <c r="C127">
        <v>240</v>
      </c>
      <c r="D127">
        <v>256.67</v>
      </c>
      <c r="E127" t="s">
        <v>408</v>
      </c>
      <c r="F127">
        <v>108.14</v>
      </c>
      <c r="G127">
        <v>151.4</v>
      </c>
      <c r="I127">
        <v>3996</v>
      </c>
      <c r="J127" s="59">
        <f t="shared" si="3"/>
        <v>61.5</v>
      </c>
      <c r="K127">
        <v>123</v>
      </c>
      <c r="L127" s="59">
        <v>23</v>
      </c>
      <c r="M127">
        <v>5.5606816309999996</v>
      </c>
      <c r="N127">
        <v>5.4806389229999999</v>
      </c>
      <c r="O127">
        <v>5.547791213</v>
      </c>
      <c r="P127">
        <v>8.2930491400000008</v>
      </c>
      <c r="Q127">
        <v>0</v>
      </c>
      <c r="R127">
        <v>1</v>
      </c>
      <c r="S127">
        <v>3603</v>
      </c>
      <c r="T127">
        <v>4.8112082689999998</v>
      </c>
      <c r="U127">
        <v>2.5368663890000001</v>
      </c>
    </row>
    <row r="128" spans="1:21">
      <c r="A128" s="58">
        <v>46083</v>
      </c>
      <c r="B128">
        <v>260</v>
      </c>
      <c r="C128">
        <v>250</v>
      </c>
      <c r="D128">
        <v>256.67</v>
      </c>
      <c r="E128" t="s">
        <v>409</v>
      </c>
      <c r="F128">
        <v>108.2</v>
      </c>
      <c r="G128">
        <v>151.47999999999999</v>
      </c>
      <c r="I128">
        <v>5225</v>
      </c>
      <c r="J128" s="59">
        <f t="shared" si="3"/>
        <v>60</v>
      </c>
      <c r="K128">
        <v>120</v>
      </c>
      <c r="L128" s="59">
        <v>21</v>
      </c>
      <c r="M128">
        <v>5.5606816309999996</v>
      </c>
      <c r="N128">
        <v>5.5214609179999998</v>
      </c>
      <c r="O128">
        <v>5.547791213</v>
      </c>
      <c r="P128">
        <v>8.5612100770000001</v>
      </c>
      <c r="Q128">
        <v>1</v>
      </c>
      <c r="R128">
        <v>0</v>
      </c>
      <c r="S128">
        <v>4327</v>
      </c>
      <c r="T128">
        <v>4.7893233979999996</v>
      </c>
      <c r="U128">
        <v>2.6898862299999999</v>
      </c>
    </row>
    <row r="129" spans="1:21">
      <c r="A129" s="58">
        <v>46090</v>
      </c>
      <c r="B129">
        <v>270</v>
      </c>
      <c r="C129">
        <v>250</v>
      </c>
      <c r="D129">
        <v>256.67</v>
      </c>
      <c r="F129">
        <v>108.26</v>
      </c>
      <c r="G129">
        <v>151.57</v>
      </c>
      <c r="H129" t="s">
        <v>410</v>
      </c>
      <c r="I129">
        <v>2742</v>
      </c>
      <c r="J129" s="59">
        <f t="shared" si="3"/>
        <v>63</v>
      </c>
      <c r="K129">
        <v>126</v>
      </c>
      <c r="L129" s="59">
        <v>20</v>
      </c>
      <c r="M129">
        <v>5.5984219590000004</v>
      </c>
      <c r="N129">
        <v>5.5214609179999998</v>
      </c>
      <c r="O129">
        <v>5.547791213</v>
      </c>
      <c r="P129">
        <v>7.9164428600000001</v>
      </c>
      <c r="Q129">
        <v>0</v>
      </c>
      <c r="R129">
        <v>0</v>
      </c>
      <c r="S129">
        <v>2427</v>
      </c>
      <c r="T129">
        <v>4.8333410790000002</v>
      </c>
      <c r="U129">
        <v>2.2762411180000002</v>
      </c>
    </row>
    <row r="130" spans="1:21">
      <c r="A130" s="58">
        <v>46097</v>
      </c>
      <c r="B130">
        <v>270</v>
      </c>
      <c r="C130">
        <v>250</v>
      </c>
      <c r="D130">
        <v>256.67</v>
      </c>
      <c r="F130">
        <v>108.32</v>
      </c>
      <c r="G130">
        <v>151.65</v>
      </c>
      <c r="I130">
        <v>2966</v>
      </c>
      <c r="J130" s="59">
        <f t="shared" ref="J130:J161" si="4">K130/2</f>
        <v>63.5</v>
      </c>
      <c r="K130">
        <v>127</v>
      </c>
      <c r="L130" s="59">
        <v>19</v>
      </c>
      <c r="M130">
        <v>5.5984219590000004</v>
      </c>
      <c r="N130">
        <v>5.5214609179999998</v>
      </c>
      <c r="O130">
        <v>5.547791213</v>
      </c>
      <c r="P130">
        <v>7.994969523</v>
      </c>
      <c r="Q130">
        <v>0</v>
      </c>
      <c r="R130">
        <v>0</v>
      </c>
      <c r="S130">
        <v>2530</v>
      </c>
      <c r="T130">
        <v>4.8426110419999997</v>
      </c>
      <c r="U130">
        <v>2.5478814490000001</v>
      </c>
    </row>
    <row r="131" spans="1:21">
      <c r="A131" s="58">
        <v>46104</v>
      </c>
      <c r="B131">
        <v>270</v>
      </c>
      <c r="C131">
        <v>250</v>
      </c>
      <c r="D131">
        <v>256.67</v>
      </c>
      <c r="F131">
        <v>108.39</v>
      </c>
      <c r="G131">
        <v>151.74</v>
      </c>
      <c r="I131">
        <v>2934</v>
      </c>
      <c r="J131" s="59">
        <f t="shared" si="4"/>
        <v>65</v>
      </c>
      <c r="K131">
        <v>130</v>
      </c>
      <c r="L131" s="59">
        <v>18</v>
      </c>
      <c r="M131">
        <v>5.5984219590000004</v>
      </c>
      <c r="N131">
        <v>5.5214609179999998</v>
      </c>
      <c r="O131">
        <v>5.547791213</v>
      </c>
      <c r="P131">
        <v>7.9841219590000003</v>
      </c>
      <c r="Q131">
        <v>0</v>
      </c>
      <c r="R131">
        <v>0</v>
      </c>
      <c r="S131">
        <v>2473</v>
      </c>
      <c r="T131">
        <v>4.8654553680000001</v>
      </c>
      <c r="U131">
        <v>2.5006159430000001</v>
      </c>
    </row>
    <row r="132" spans="1:21">
      <c r="A132" s="58">
        <v>46111</v>
      </c>
      <c r="B132">
        <v>270</v>
      </c>
      <c r="C132">
        <v>250</v>
      </c>
      <c r="D132">
        <v>256.67</v>
      </c>
      <c r="F132">
        <v>108.45</v>
      </c>
      <c r="G132">
        <v>151.83000000000001</v>
      </c>
      <c r="I132">
        <v>3009</v>
      </c>
      <c r="J132" s="59">
        <f t="shared" si="4"/>
        <v>64</v>
      </c>
      <c r="K132">
        <v>128</v>
      </c>
      <c r="L132" s="59">
        <v>19</v>
      </c>
      <c r="M132">
        <v>5.5984219590000004</v>
      </c>
      <c r="N132">
        <v>5.5214609179999998</v>
      </c>
      <c r="O132">
        <v>5.547791213</v>
      </c>
      <c r="P132">
        <v>8.0093630769999997</v>
      </c>
      <c r="Q132">
        <v>0</v>
      </c>
      <c r="R132">
        <v>0</v>
      </c>
      <c r="S132">
        <v>2564</v>
      </c>
      <c r="T132">
        <v>4.8544492110000004</v>
      </c>
      <c r="U132">
        <v>2.4981518770000002</v>
      </c>
    </row>
    <row r="133" spans="1:21">
      <c r="A133" s="58">
        <v>46118</v>
      </c>
      <c r="B133">
        <v>270</v>
      </c>
      <c r="C133">
        <v>250</v>
      </c>
      <c r="D133">
        <v>256.67</v>
      </c>
      <c r="F133">
        <v>108.51</v>
      </c>
      <c r="G133">
        <v>151.91</v>
      </c>
      <c r="I133">
        <v>3006</v>
      </c>
      <c r="J133" s="59">
        <f t="shared" si="4"/>
        <v>65</v>
      </c>
      <c r="K133">
        <v>130</v>
      </c>
      <c r="L133" s="59">
        <v>20</v>
      </c>
      <c r="M133">
        <v>5.5984219590000004</v>
      </c>
      <c r="N133">
        <v>5.5214609179999998</v>
      </c>
      <c r="O133">
        <v>5.547791213</v>
      </c>
      <c r="P133">
        <v>8.0083655700000005</v>
      </c>
      <c r="Q133">
        <v>0</v>
      </c>
      <c r="R133">
        <v>0</v>
      </c>
      <c r="S133">
        <v>2408</v>
      </c>
      <c r="T133">
        <v>4.8648385120000004</v>
      </c>
      <c r="U133">
        <v>2.4790562359999999</v>
      </c>
    </row>
    <row r="134" spans="1:21">
      <c r="A134" s="58">
        <v>46125</v>
      </c>
      <c r="B134">
        <v>270</v>
      </c>
      <c r="C134">
        <v>250</v>
      </c>
      <c r="D134">
        <v>256.67</v>
      </c>
      <c r="F134">
        <v>108.57</v>
      </c>
      <c r="G134">
        <v>152</v>
      </c>
      <c r="I134">
        <v>2959</v>
      </c>
      <c r="J134" s="59">
        <f t="shared" si="4"/>
        <v>63.5</v>
      </c>
      <c r="K134">
        <v>127</v>
      </c>
      <c r="L134" s="59">
        <v>21</v>
      </c>
      <c r="M134">
        <v>5.5984219590000004</v>
      </c>
      <c r="N134">
        <v>5.5214609179999998</v>
      </c>
      <c r="O134">
        <v>5.547791213</v>
      </c>
      <c r="P134">
        <v>7.9926066520000001</v>
      </c>
      <c r="Q134">
        <v>0</v>
      </c>
      <c r="R134">
        <v>0</v>
      </c>
      <c r="S134">
        <v>2761</v>
      </c>
      <c r="T134">
        <v>4.8447381160000003</v>
      </c>
      <c r="U134">
        <v>2.4353662040000001</v>
      </c>
    </row>
    <row r="135" spans="1:21">
      <c r="A135" s="58">
        <v>46132</v>
      </c>
      <c r="B135">
        <v>270</v>
      </c>
      <c r="C135">
        <v>250</v>
      </c>
      <c r="D135">
        <v>266.67</v>
      </c>
      <c r="F135">
        <v>108.63</v>
      </c>
      <c r="G135">
        <v>152.09</v>
      </c>
      <c r="I135">
        <v>2986</v>
      </c>
      <c r="J135" s="59">
        <f t="shared" si="4"/>
        <v>64.5</v>
      </c>
      <c r="K135">
        <v>129</v>
      </c>
      <c r="L135" s="59">
        <v>22</v>
      </c>
      <c r="M135">
        <v>5.5984219590000004</v>
      </c>
      <c r="N135">
        <v>5.5214609179999998</v>
      </c>
      <c r="O135">
        <v>5.5860119389999996</v>
      </c>
      <c r="P135">
        <v>8.0016899779999999</v>
      </c>
      <c r="Q135">
        <v>0</v>
      </c>
      <c r="R135">
        <v>0</v>
      </c>
      <c r="S135">
        <v>2720</v>
      </c>
      <c r="T135">
        <v>4.8586489369999999</v>
      </c>
      <c r="U135">
        <v>2.4449523339999999</v>
      </c>
    </row>
    <row r="136" spans="1:21">
      <c r="A136" s="58">
        <v>46139</v>
      </c>
      <c r="B136">
        <v>270</v>
      </c>
      <c r="C136">
        <v>250</v>
      </c>
      <c r="D136">
        <v>266.67</v>
      </c>
      <c r="F136">
        <v>108.69</v>
      </c>
      <c r="G136">
        <v>152.16999999999999</v>
      </c>
      <c r="I136">
        <v>2863</v>
      </c>
      <c r="J136" s="59">
        <f t="shared" si="4"/>
        <v>65.5</v>
      </c>
      <c r="K136">
        <v>131</v>
      </c>
      <c r="L136" s="59">
        <v>20</v>
      </c>
      <c r="M136">
        <v>5.5984219590000004</v>
      </c>
      <c r="N136">
        <v>5.5214609179999998</v>
      </c>
      <c r="O136">
        <v>5.5860119389999996</v>
      </c>
      <c r="P136">
        <v>7.9596253050000003</v>
      </c>
      <c r="Q136">
        <v>0</v>
      </c>
      <c r="R136">
        <v>0</v>
      </c>
      <c r="S136">
        <v>2461</v>
      </c>
      <c r="T136">
        <v>4.872904621</v>
      </c>
      <c r="U136">
        <v>2.4078456039999998</v>
      </c>
    </row>
    <row r="137" spans="1:21">
      <c r="A137" s="58">
        <v>46146</v>
      </c>
      <c r="B137">
        <v>270</v>
      </c>
      <c r="C137">
        <v>250</v>
      </c>
      <c r="D137">
        <v>266.67</v>
      </c>
      <c r="F137">
        <v>108.76</v>
      </c>
      <c r="G137">
        <v>152.26</v>
      </c>
      <c r="I137">
        <v>2853</v>
      </c>
      <c r="J137" s="59">
        <f t="shared" si="4"/>
        <v>64.5</v>
      </c>
      <c r="K137">
        <v>129</v>
      </c>
      <c r="L137" s="59">
        <v>19</v>
      </c>
      <c r="M137">
        <v>5.5984219590000004</v>
      </c>
      <c r="N137">
        <v>5.5214609179999998</v>
      </c>
      <c r="O137">
        <v>5.5860119389999996</v>
      </c>
      <c r="P137">
        <v>7.956126351</v>
      </c>
      <c r="Q137">
        <v>0</v>
      </c>
      <c r="R137">
        <v>0</v>
      </c>
      <c r="S137">
        <v>2280</v>
      </c>
      <c r="T137">
        <v>4.858493706</v>
      </c>
      <c r="U137">
        <v>2.4132316130000002</v>
      </c>
    </row>
    <row r="138" spans="1:21">
      <c r="A138" s="58">
        <v>46153</v>
      </c>
      <c r="B138">
        <v>270</v>
      </c>
      <c r="C138">
        <v>250</v>
      </c>
      <c r="D138">
        <v>266.67</v>
      </c>
      <c r="F138">
        <v>108.82</v>
      </c>
      <c r="G138">
        <v>152.35</v>
      </c>
      <c r="I138">
        <v>2803</v>
      </c>
      <c r="J138" s="59">
        <f t="shared" si="4"/>
        <v>63</v>
      </c>
      <c r="K138">
        <v>126</v>
      </c>
      <c r="L138" s="59">
        <v>20</v>
      </c>
      <c r="M138">
        <v>5.5984219590000004</v>
      </c>
      <c r="N138">
        <v>5.5214609179999998</v>
      </c>
      <c r="O138">
        <v>5.5860119389999996</v>
      </c>
      <c r="P138">
        <v>7.938445551</v>
      </c>
      <c r="Q138">
        <v>0</v>
      </c>
      <c r="R138">
        <v>0</v>
      </c>
      <c r="S138">
        <v>2533</v>
      </c>
      <c r="T138">
        <v>4.8323854370000001</v>
      </c>
      <c r="U138">
        <v>2.4344901640000001</v>
      </c>
    </row>
    <row r="139" spans="1:21">
      <c r="A139" s="58">
        <v>46160</v>
      </c>
      <c r="B139">
        <v>270</v>
      </c>
      <c r="C139">
        <v>250</v>
      </c>
      <c r="D139">
        <v>266.67</v>
      </c>
      <c r="F139">
        <v>108.88</v>
      </c>
      <c r="G139">
        <v>152.43</v>
      </c>
      <c r="I139">
        <v>3018</v>
      </c>
      <c r="J139" s="59">
        <f t="shared" si="4"/>
        <v>62.5</v>
      </c>
      <c r="K139">
        <v>125</v>
      </c>
      <c r="L139" s="59">
        <v>22</v>
      </c>
      <c r="M139">
        <v>5.5984219590000004</v>
      </c>
      <c r="N139">
        <v>5.5214609179999998</v>
      </c>
      <c r="O139">
        <v>5.5860119389999996</v>
      </c>
      <c r="P139">
        <v>8.012349639</v>
      </c>
      <c r="Q139">
        <v>0</v>
      </c>
      <c r="R139">
        <v>0</v>
      </c>
      <c r="S139">
        <v>2726</v>
      </c>
      <c r="T139">
        <v>4.8271931099999996</v>
      </c>
      <c r="U139">
        <v>2.551786179</v>
      </c>
    </row>
    <row r="140" spans="1:21">
      <c r="A140" s="58">
        <v>46167</v>
      </c>
      <c r="B140">
        <v>270</v>
      </c>
      <c r="C140">
        <v>250</v>
      </c>
      <c r="D140">
        <v>266.67</v>
      </c>
      <c r="F140">
        <v>108.94</v>
      </c>
      <c r="G140">
        <v>152.52000000000001</v>
      </c>
      <c r="I140">
        <v>2742</v>
      </c>
      <c r="J140" s="59">
        <f t="shared" si="4"/>
        <v>62</v>
      </c>
      <c r="K140">
        <v>124</v>
      </c>
      <c r="L140" s="59">
        <v>22</v>
      </c>
      <c r="M140">
        <v>5.5984219590000004</v>
      </c>
      <c r="N140">
        <v>5.5214609179999998</v>
      </c>
      <c r="O140">
        <v>5.5860119389999996</v>
      </c>
      <c r="P140">
        <v>7.9164428600000001</v>
      </c>
      <c r="Q140">
        <v>0</v>
      </c>
      <c r="R140">
        <v>0</v>
      </c>
      <c r="S140">
        <v>3051</v>
      </c>
      <c r="T140">
        <v>4.8164840419999999</v>
      </c>
      <c r="U140">
        <v>2.4765383999999999</v>
      </c>
    </row>
    <row r="141" spans="1:21">
      <c r="A141" s="58">
        <v>46174</v>
      </c>
      <c r="B141">
        <v>270</v>
      </c>
      <c r="C141">
        <v>250</v>
      </c>
      <c r="D141">
        <v>266.67</v>
      </c>
      <c r="F141">
        <v>109</v>
      </c>
      <c r="G141">
        <v>152.61000000000001</v>
      </c>
      <c r="I141">
        <v>2808</v>
      </c>
      <c r="J141" s="59">
        <f t="shared" si="4"/>
        <v>63</v>
      </c>
      <c r="K141">
        <v>126</v>
      </c>
      <c r="L141" s="59">
        <v>23</v>
      </c>
      <c r="M141">
        <v>5.5984219590000004</v>
      </c>
      <c r="N141">
        <v>5.5214609179999998</v>
      </c>
      <c r="O141">
        <v>5.5860119389999996</v>
      </c>
      <c r="P141">
        <v>7.9402277650000004</v>
      </c>
      <c r="Q141">
        <v>0</v>
      </c>
      <c r="R141">
        <v>0</v>
      </c>
      <c r="S141">
        <v>3390</v>
      </c>
      <c r="T141">
        <v>4.836043783</v>
      </c>
      <c r="U141">
        <v>2.4283362980000001</v>
      </c>
    </row>
    <row r="142" spans="1:21">
      <c r="A142" s="58">
        <v>46181</v>
      </c>
      <c r="B142">
        <v>270</v>
      </c>
      <c r="C142">
        <v>250</v>
      </c>
      <c r="D142">
        <v>266.67</v>
      </c>
      <c r="F142">
        <v>109.07</v>
      </c>
      <c r="G142">
        <v>152.69</v>
      </c>
      <c r="I142">
        <v>2638</v>
      </c>
      <c r="J142" s="59">
        <f t="shared" si="4"/>
        <v>64</v>
      </c>
      <c r="K142">
        <v>128</v>
      </c>
      <c r="L142" s="59">
        <v>20</v>
      </c>
      <c r="M142">
        <v>5.5984219590000004</v>
      </c>
      <c r="N142">
        <v>5.5214609179999998</v>
      </c>
      <c r="O142">
        <v>5.5860119389999996</v>
      </c>
      <c r="P142">
        <v>7.8777763329999999</v>
      </c>
      <c r="Q142">
        <v>0</v>
      </c>
      <c r="R142">
        <v>0</v>
      </c>
      <c r="S142">
        <v>2897</v>
      </c>
      <c r="T142">
        <v>4.8481163650000001</v>
      </c>
      <c r="U142">
        <v>2.3878449370000001</v>
      </c>
    </row>
    <row r="143" spans="1:21">
      <c r="A143" s="58">
        <v>46188</v>
      </c>
      <c r="B143">
        <v>270</v>
      </c>
      <c r="C143">
        <v>250</v>
      </c>
      <c r="D143">
        <v>266.67</v>
      </c>
      <c r="F143">
        <v>109.13</v>
      </c>
      <c r="G143">
        <v>152.78</v>
      </c>
      <c r="I143">
        <v>2823</v>
      </c>
      <c r="J143" s="59">
        <f t="shared" si="4"/>
        <v>64</v>
      </c>
      <c r="K143">
        <v>128</v>
      </c>
      <c r="L143" s="59">
        <v>23</v>
      </c>
      <c r="M143">
        <v>5.5984219590000004</v>
      </c>
      <c r="N143">
        <v>5.5214609179999998</v>
      </c>
      <c r="O143">
        <v>5.5860119389999996</v>
      </c>
      <c r="P143">
        <v>7.9455554279999996</v>
      </c>
      <c r="Q143">
        <v>0</v>
      </c>
      <c r="R143">
        <v>0</v>
      </c>
      <c r="S143">
        <v>2488</v>
      </c>
      <c r="T143">
        <v>4.8483516309999999</v>
      </c>
      <c r="U143">
        <v>2.3841650799999998</v>
      </c>
    </row>
    <row r="144" spans="1:21">
      <c r="A144" s="58">
        <v>46195</v>
      </c>
      <c r="B144">
        <v>270</v>
      </c>
      <c r="C144">
        <v>250</v>
      </c>
      <c r="D144">
        <v>266.67</v>
      </c>
      <c r="F144">
        <v>109.19</v>
      </c>
      <c r="G144">
        <v>152.87</v>
      </c>
      <c r="I144">
        <v>2898</v>
      </c>
      <c r="J144" s="59">
        <f t="shared" si="4"/>
        <v>64.5</v>
      </c>
      <c r="K144">
        <v>129</v>
      </c>
      <c r="L144" s="59">
        <v>24</v>
      </c>
      <c r="M144">
        <v>5.5984219590000004</v>
      </c>
      <c r="N144">
        <v>5.5214609179999998</v>
      </c>
      <c r="O144">
        <v>5.5860119389999996</v>
      </c>
      <c r="P144">
        <v>7.9717761229999997</v>
      </c>
      <c r="Q144">
        <v>0</v>
      </c>
      <c r="R144">
        <v>0</v>
      </c>
      <c r="S144">
        <v>2183</v>
      </c>
      <c r="T144">
        <v>4.8570955390000004</v>
      </c>
      <c r="U144">
        <v>2.5641798310000001</v>
      </c>
    </row>
    <row r="145" spans="1:21">
      <c r="A145" s="58">
        <v>46202</v>
      </c>
      <c r="B145">
        <v>270</v>
      </c>
      <c r="C145">
        <v>250</v>
      </c>
      <c r="D145">
        <v>266.67</v>
      </c>
      <c r="F145">
        <v>109.25</v>
      </c>
      <c r="G145">
        <v>152.94999999999999</v>
      </c>
      <c r="I145">
        <v>2657</v>
      </c>
      <c r="J145" s="59">
        <f t="shared" si="4"/>
        <v>64</v>
      </c>
      <c r="K145">
        <v>128</v>
      </c>
      <c r="L145" s="59">
        <v>23</v>
      </c>
      <c r="M145">
        <v>5.5984219590000004</v>
      </c>
      <c r="N145">
        <v>5.5214609179999998</v>
      </c>
      <c r="O145">
        <v>5.5860119389999996</v>
      </c>
      <c r="P145">
        <v>7.8849529460000003</v>
      </c>
      <c r="Q145">
        <v>0</v>
      </c>
      <c r="R145">
        <v>0</v>
      </c>
      <c r="S145">
        <v>2525</v>
      </c>
      <c r="T145">
        <v>4.850935915</v>
      </c>
      <c r="U145">
        <v>2.477378383</v>
      </c>
    </row>
    <row r="146" spans="1:21">
      <c r="A146" s="58">
        <v>46209</v>
      </c>
      <c r="B146">
        <v>270</v>
      </c>
      <c r="C146">
        <v>250</v>
      </c>
      <c r="D146">
        <v>266.67</v>
      </c>
      <c r="F146">
        <v>109.31</v>
      </c>
      <c r="G146">
        <v>153.04</v>
      </c>
      <c r="I146">
        <v>2796</v>
      </c>
      <c r="J146" s="59">
        <f t="shared" si="4"/>
        <v>64.5</v>
      </c>
      <c r="K146">
        <v>129</v>
      </c>
      <c r="L146" s="59">
        <v>24</v>
      </c>
      <c r="M146">
        <v>5.5984219590000004</v>
      </c>
      <c r="N146">
        <v>5.5214609179999998</v>
      </c>
      <c r="O146">
        <v>5.5860119389999996</v>
      </c>
      <c r="P146">
        <v>7.9359451029999999</v>
      </c>
      <c r="Q146">
        <v>0</v>
      </c>
      <c r="R146">
        <v>0</v>
      </c>
      <c r="S146">
        <v>2646</v>
      </c>
      <c r="T146">
        <v>4.8585713239999997</v>
      </c>
      <c r="U146">
        <v>2.4432162229999999</v>
      </c>
    </row>
    <row r="147" spans="1:21">
      <c r="A147" s="58">
        <v>46216</v>
      </c>
      <c r="B147">
        <v>270</v>
      </c>
      <c r="C147">
        <v>250</v>
      </c>
      <c r="D147">
        <v>266.67</v>
      </c>
      <c r="F147">
        <v>109.38</v>
      </c>
      <c r="G147">
        <v>153.13</v>
      </c>
      <c r="I147">
        <v>2997</v>
      </c>
      <c r="J147" s="59">
        <f t="shared" si="4"/>
        <v>64.5</v>
      </c>
      <c r="K147">
        <v>129</v>
      </c>
      <c r="L147" s="59">
        <v>23</v>
      </c>
      <c r="M147">
        <v>5.5984219590000004</v>
      </c>
      <c r="N147">
        <v>5.5214609179999998</v>
      </c>
      <c r="O147">
        <v>5.5860119389999996</v>
      </c>
      <c r="P147">
        <v>8.0053670669999999</v>
      </c>
      <c r="Q147">
        <v>0</v>
      </c>
      <c r="R147">
        <v>0</v>
      </c>
      <c r="S147">
        <v>2702</v>
      </c>
      <c r="T147">
        <v>4.8612067809999999</v>
      </c>
      <c r="U147">
        <v>2.4105422339999998</v>
      </c>
    </row>
    <row r="148" spans="1:21">
      <c r="A148" s="58">
        <v>46223</v>
      </c>
      <c r="B148">
        <v>270</v>
      </c>
      <c r="C148">
        <v>250</v>
      </c>
      <c r="D148">
        <v>266.67</v>
      </c>
      <c r="F148">
        <v>109.44</v>
      </c>
      <c r="G148">
        <v>153.21</v>
      </c>
      <c r="I148">
        <v>2802</v>
      </c>
      <c r="J148" s="59">
        <f t="shared" si="4"/>
        <v>66</v>
      </c>
      <c r="K148">
        <v>132</v>
      </c>
      <c r="L148" s="59">
        <v>22</v>
      </c>
      <c r="M148">
        <v>5.5984219590000004</v>
      </c>
      <c r="N148">
        <v>5.5214609179999998</v>
      </c>
      <c r="O148">
        <v>5.5860119389999996</v>
      </c>
      <c r="P148">
        <v>7.9380887270000002</v>
      </c>
      <c r="Q148">
        <v>0</v>
      </c>
      <c r="R148">
        <v>0</v>
      </c>
      <c r="S148">
        <v>2684</v>
      </c>
      <c r="T148">
        <v>4.8791589310000001</v>
      </c>
      <c r="U148">
        <v>2.3504224219999998</v>
      </c>
    </row>
    <row r="149" spans="1:21">
      <c r="A149" s="58">
        <v>46230</v>
      </c>
      <c r="B149">
        <v>270</v>
      </c>
      <c r="C149">
        <v>250</v>
      </c>
      <c r="D149">
        <v>266.67</v>
      </c>
      <c r="F149">
        <v>109.5</v>
      </c>
      <c r="G149">
        <v>153.30000000000001</v>
      </c>
      <c r="I149">
        <v>2742</v>
      </c>
      <c r="J149" s="59">
        <f t="shared" si="4"/>
        <v>64.5</v>
      </c>
      <c r="K149">
        <v>129</v>
      </c>
      <c r="L149" s="59">
        <v>23</v>
      </c>
      <c r="M149">
        <v>5.5984219590000004</v>
      </c>
      <c r="N149">
        <v>5.5214609179999998</v>
      </c>
      <c r="O149">
        <v>5.5860119389999996</v>
      </c>
      <c r="P149">
        <v>7.9164428600000001</v>
      </c>
      <c r="Q149">
        <v>0</v>
      </c>
      <c r="R149">
        <v>0</v>
      </c>
      <c r="S149">
        <v>2782</v>
      </c>
      <c r="T149">
        <v>4.8605872979999996</v>
      </c>
      <c r="U149">
        <v>2.4353662040000001</v>
      </c>
    </row>
    <row r="150" spans="1:21">
      <c r="A150" s="58">
        <v>46237</v>
      </c>
      <c r="B150">
        <v>270</v>
      </c>
      <c r="C150">
        <v>250</v>
      </c>
      <c r="D150">
        <v>266.67</v>
      </c>
      <c r="F150">
        <v>109.56</v>
      </c>
      <c r="G150">
        <v>153.38999999999999</v>
      </c>
      <c r="I150">
        <v>2820</v>
      </c>
      <c r="J150" s="59">
        <f t="shared" si="4"/>
        <v>64.5</v>
      </c>
      <c r="K150">
        <v>129</v>
      </c>
      <c r="L150" s="59">
        <v>24</v>
      </c>
      <c r="M150">
        <v>5.5984219590000004</v>
      </c>
      <c r="N150">
        <v>5.5214609179999998</v>
      </c>
      <c r="O150">
        <v>5.5860119389999996</v>
      </c>
      <c r="P150">
        <v>7.9444921639999997</v>
      </c>
      <c r="Q150">
        <v>0</v>
      </c>
      <c r="R150">
        <v>0</v>
      </c>
      <c r="S150">
        <v>3090</v>
      </c>
      <c r="T150">
        <v>4.8605872979999996</v>
      </c>
      <c r="U150">
        <v>2.511223958</v>
      </c>
    </row>
    <row r="151" spans="1:21">
      <c r="A151" s="58">
        <v>46244</v>
      </c>
      <c r="B151">
        <v>270</v>
      </c>
      <c r="C151">
        <v>250</v>
      </c>
      <c r="D151">
        <v>266.67</v>
      </c>
      <c r="F151">
        <v>109.63</v>
      </c>
      <c r="G151">
        <v>153.47999999999999</v>
      </c>
      <c r="I151">
        <v>2589</v>
      </c>
      <c r="J151" s="59">
        <f t="shared" si="4"/>
        <v>63</v>
      </c>
      <c r="K151">
        <v>126</v>
      </c>
      <c r="L151" s="59">
        <v>25</v>
      </c>
      <c r="M151">
        <v>5.5984219590000004</v>
      </c>
      <c r="N151">
        <v>5.5214609179999998</v>
      </c>
      <c r="O151">
        <v>5.5860119389999996</v>
      </c>
      <c r="P151">
        <v>7.8590269800000003</v>
      </c>
      <c r="Q151">
        <v>0</v>
      </c>
      <c r="R151">
        <v>0</v>
      </c>
      <c r="S151">
        <v>2981</v>
      </c>
      <c r="T151">
        <v>4.8331022539999999</v>
      </c>
      <c r="U151">
        <v>2.4105422339999998</v>
      </c>
    </row>
    <row r="152" spans="1:21">
      <c r="A152" s="58">
        <v>46251</v>
      </c>
      <c r="B152">
        <v>270</v>
      </c>
      <c r="C152">
        <v>250</v>
      </c>
      <c r="D152">
        <v>266.67</v>
      </c>
      <c r="E152" t="s">
        <v>411</v>
      </c>
      <c r="F152">
        <v>109.69</v>
      </c>
      <c r="G152">
        <v>153.56</v>
      </c>
      <c r="I152">
        <v>3668</v>
      </c>
      <c r="J152" s="59">
        <f t="shared" si="4"/>
        <v>62.5</v>
      </c>
      <c r="K152">
        <v>125</v>
      </c>
      <c r="L152" s="59">
        <v>19</v>
      </c>
      <c r="M152">
        <v>5.5984219590000004</v>
      </c>
      <c r="N152">
        <v>5.5214609179999998</v>
      </c>
      <c r="O152">
        <v>5.5860119389999996</v>
      </c>
      <c r="P152">
        <v>8.2074018330000005</v>
      </c>
      <c r="Q152">
        <v>0</v>
      </c>
      <c r="R152">
        <v>1</v>
      </c>
      <c r="S152">
        <v>3172</v>
      </c>
      <c r="T152">
        <v>4.8247072419999997</v>
      </c>
      <c r="U152">
        <v>2.586259144</v>
      </c>
    </row>
    <row r="153" spans="1:21">
      <c r="A153" s="58">
        <v>46258</v>
      </c>
      <c r="B153">
        <v>270</v>
      </c>
      <c r="C153">
        <v>250</v>
      </c>
      <c r="D153">
        <v>266.67</v>
      </c>
      <c r="E153" t="s">
        <v>412</v>
      </c>
      <c r="F153">
        <v>109.75</v>
      </c>
      <c r="G153">
        <v>153.65</v>
      </c>
      <c r="I153">
        <v>5292</v>
      </c>
      <c r="J153" s="59">
        <f t="shared" si="4"/>
        <v>64</v>
      </c>
      <c r="K153">
        <v>128</v>
      </c>
      <c r="L153" s="59">
        <v>24</v>
      </c>
      <c r="M153">
        <v>5.5984219590000004</v>
      </c>
      <c r="N153">
        <v>5.5214609179999998</v>
      </c>
      <c r="O153">
        <v>5.5860119389999996</v>
      </c>
      <c r="P153">
        <v>8.573951525</v>
      </c>
      <c r="Q153">
        <v>1</v>
      </c>
      <c r="R153">
        <v>0</v>
      </c>
      <c r="S153">
        <v>3345</v>
      </c>
      <c r="T153">
        <v>4.8558510799999999</v>
      </c>
      <c r="U153">
        <v>2.7265447840000001</v>
      </c>
    </row>
    <row r="154" spans="1:21">
      <c r="A154" s="58">
        <v>46265</v>
      </c>
      <c r="B154">
        <v>270</v>
      </c>
      <c r="C154">
        <v>250</v>
      </c>
      <c r="D154">
        <v>266.67</v>
      </c>
      <c r="F154">
        <v>109.81</v>
      </c>
      <c r="G154">
        <v>153.74</v>
      </c>
      <c r="I154">
        <v>2782</v>
      </c>
      <c r="J154" s="59">
        <f t="shared" si="4"/>
        <v>64</v>
      </c>
      <c r="K154">
        <v>128</v>
      </c>
      <c r="L154" s="59">
        <v>25</v>
      </c>
      <c r="M154">
        <v>5.5984219590000004</v>
      </c>
      <c r="N154">
        <v>5.5214609179999998</v>
      </c>
      <c r="O154">
        <v>5.5860119389999996</v>
      </c>
      <c r="P154">
        <v>7.9309253719999999</v>
      </c>
      <c r="Q154">
        <v>0</v>
      </c>
      <c r="R154">
        <v>0</v>
      </c>
      <c r="S154">
        <v>2497</v>
      </c>
      <c r="T154">
        <v>4.8533575080000002</v>
      </c>
      <c r="U154">
        <v>2.4535879669999998</v>
      </c>
    </row>
    <row r="155" spans="1:21">
      <c r="A155" s="58">
        <v>46272</v>
      </c>
      <c r="B155">
        <v>280</v>
      </c>
      <c r="C155">
        <v>260</v>
      </c>
      <c r="D155">
        <v>266.67</v>
      </c>
      <c r="F155">
        <v>109.88</v>
      </c>
      <c r="G155">
        <v>153.83000000000001</v>
      </c>
      <c r="H155" t="s">
        <v>410</v>
      </c>
      <c r="I155">
        <v>2691</v>
      </c>
      <c r="J155" s="59">
        <f t="shared" si="4"/>
        <v>64</v>
      </c>
      <c r="K155">
        <v>128</v>
      </c>
      <c r="L155" s="59">
        <v>26</v>
      </c>
      <c r="M155">
        <v>5.6347896029999998</v>
      </c>
      <c r="N155">
        <v>5.5606816309999996</v>
      </c>
      <c r="O155">
        <v>5.5860119389999996</v>
      </c>
      <c r="P155">
        <v>7.8976681510000004</v>
      </c>
      <c r="Q155">
        <v>0</v>
      </c>
      <c r="R155">
        <v>0</v>
      </c>
      <c r="S155">
        <v>2620</v>
      </c>
      <c r="T155">
        <v>4.8490570980000003</v>
      </c>
      <c r="U155">
        <v>2.3184584419999998</v>
      </c>
    </row>
    <row r="156" spans="1:21">
      <c r="A156" s="58">
        <v>46279</v>
      </c>
      <c r="B156">
        <v>280</v>
      </c>
      <c r="C156">
        <v>260</v>
      </c>
      <c r="D156">
        <v>266.67</v>
      </c>
      <c r="F156">
        <v>109.94</v>
      </c>
      <c r="G156">
        <v>153.91</v>
      </c>
      <c r="I156">
        <v>2719</v>
      </c>
      <c r="J156" s="59">
        <f t="shared" si="4"/>
        <v>64</v>
      </c>
      <c r="K156">
        <v>128</v>
      </c>
      <c r="L156" s="59">
        <v>22</v>
      </c>
      <c r="M156">
        <v>5.6347896029999998</v>
      </c>
      <c r="N156">
        <v>5.5606816309999996</v>
      </c>
      <c r="O156">
        <v>5.5860119389999996</v>
      </c>
      <c r="P156">
        <v>7.9080194449999999</v>
      </c>
      <c r="Q156">
        <v>0</v>
      </c>
      <c r="R156">
        <v>0</v>
      </c>
      <c r="S156">
        <v>2772</v>
      </c>
      <c r="T156">
        <v>4.8549946159999999</v>
      </c>
      <c r="U156">
        <v>2.4283362980000001</v>
      </c>
    </row>
    <row r="157" spans="1:21">
      <c r="A157" s="58">
        <v>46286</v>
      </c>
      <c r="B157">
        <v>280</v>
      </c>
      <c r="C157">
        <v>260</v>
      </c>
      <c r="D157">
        <v>266.67</v>
      </c>
      <c r="F157">
        <v>110</v>
      </c>
      <c r="G157">
        <v>154</v>
      </c>
      <c r="I157">
        <v>2879</v>
      </c>
      <c r="J157" s="59">
        <f t="shared" si="4"/>
        <v>66</v>
      </c>
      <c r="K157">
        <v>132</v>
      </c>
      <c r="L157" s="59">
        <v>28</v>
      </c>
      <c r="M157">
        <v>5.6347896029999998</v>
      </c>
      <c r="N157">
        <v>5.5606816309999996</v>
      </c>
      <c r="O157">
        <v>5.5860119389999996</v>
      </c>
      <c r="P157">
        <v>7.9651982910000001</v>
      </c>
      <c r="Q157">
        <v>0</v>
      </c>
      <c r="R157">
        <v>0</v>
      </c>
      <c r="S157">
        <v>3246</v>
      </c>
      <c r="T157">
        <v>4.8790828939999997</v>
      </c>
      <c r="U157">
        <v>2.3795461339999999</v>
      </c>
    </row>
    <row r="159" spans="1:21">
      <c r="A159" t="s">
        <v>414</v>
      </c>
    </row>
    <row r="160" spans="1:21">
      <c r="A160" t="s">
        <v>415</v>
      </c>
    </row>
    <row r="161" spans="1:1">
      <c r="A161" t="s">
        <v>416</v>
      </c>
    </row>
    <row r="162" spans="1:1">
      <c r="A162" t="s">
        <v>417</v>
      </c>
    </row>
    <row r="163" spans="1:1">
      <c r="A163" t="s">
        <v>418</v>
      </c>
    </row>
    <row r="164" spans="1:1">
      <c r="A164" t="s">
        <v>419</v>
      </c>
    </row>
    <row r="165" spans="1:1">
      <c r="A165" t="s">
        <v>420</v>
      </c>
    </row>
    <row r="166" spans="1:1">
      <c r="A166" t="s">
        <v>421</v>
      </c>
    </row>
    <row r="167" spans="1:1">
      <c r="A167" t="s">
        <v>422</v>
      </c>
    </row>
    <row r="168" spans="1:1">
      <c r="A168" t="s">
        <v>423</v>
      </c>
    </row>
    <row r="169" spans="1:1">
      <c r="A169" t="s">
        <v>424</v>
      </c>
    </row>
    <row r="170" spans="1:1">
      <c r="A170" t="s">
        <v>425</v>
      </c>
    </row>
    <row r="171" spans="1:1">
      <c r="A171" t="s">
        <v>426</v>
      </c>
    </row>
    <row r="172" spans="1:1">
      <c r="A172" t="s">
        <v>427</v>
      </c>
    </row>
    <row r="173" spans="1:1">
      <c r="A173" t="s">
        <v>428</v>
      </c>
    </row>
    <row r="174" spans="1:1">
      <c r="A174" t="s">
        <v>429</v>
      </c>
    </row>
    <row r="175" spans="1:1">
      <c r="A175" t="s">
        <v>430</v>
      </c>
    </row>
    <row r="176" spans="1:1">
      <c r="A176" t="s">
        <v>431</v>
      </c>
    </row>
    <row r="177" spans="1:1">
      <c r="A177" t="s">
        <v>432</v>
      </c>
    </row>
    <row r="178" spans="1:1">
      <c r="A178" t="s">
        <v>433</v>
      </c>
    </row>
    <row r="179" spans="1:1">
      <c r="A179" t="s">
        <v>434</v>
      </c>
    </row>
    <row r="180" spans="1:1">
      <c r="A180" t="s">
        <v>415</v>
      </c>
    </row>
    <row r="181" spans="1:1">
      <c r="A181" t="s">
        <v>435</v>
      </c>
    </row>
    <row r="182" spans="1:1">
      <c r="A182" t="s">
        <v>436</v>
      </c>
    </row>
    <row r="183" spans="1:1">
      <c r="A183" t="s">
        <v>437</v>
      </c>
    </row>
    <row r="184" spans="1:1">
      <c r="A184" t="s">
        <v>438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5CCA-23B5-49D5-971F-9DF30D6A3813}">
  <dimension ref="A1:M25"/>
  <sheetViews>
    <sheetView workbookViewId="0">
      <selection activeCell="D28" sqref="D28"/>
    </sheetView>
  </sheetViews>
  <sheetFormatPr defaultRowHeight="13.8"/>
  <cols>
    <col min="2" max="2" width="13.59765625" customWidth="1"/>
    <col min="5" max="5" width="10.5" customWidth="1"/>
  </cols>
  <sheetData>
    <row r="1" spans="1:13">
      <c r="A1" t="s">
        <v>439</v>
      </c>
      <c r="B1" t="s">
        <v>440</v>
      </c>
      <c r="C1" t="s">
        <v>441</v>
      </c>
      <c r="D1" t="s">
        <v>442</v>
      </c>
      <c r="E1" t="s">
        <v>443</v>
      </c>
      <c r="F1" t="s">
        <v>444</v>
      </c>
      <c r="G1" t="s">
        <v>445</v>
      </c>
      <c r="H1" t="s">
        <v>446</v>
      </c>
      <c r="I1" t="s">
        <v>447</v>
      </c>
      <c r="J1" t="s">
        <v>448</v>
      </c>
      <c r="K1" t="s">
        <v>449</v>
      </c>
      <c r="L1" t="s">
        <v>450</v>
      </c>
      <c r="M1" t="s">
        <v>451</v>
      </c>
    </row>
    <row r="2" spans="1:13">
      <c r="A2">
        <v>288</v>
      </c>
      <c r="B2" t="s">
        <v>453</v>
      </c>
      <c r="C2" t="b">
        <v>1</v>
      </c>
      <c r="D2">
        <v>13032.5067058477</v>
      </c>
      <c r="E2">
        <v>762492.75945412403</v>
      </c>
      <c r="F2">
        <v>613761.10378665605</v>
      </c>
      <c r="G2">
        <v>919529.02139961801</v>
      </c>
      <c r="H2">
        <v>580589.46610636695</v>
      </c>
      <c r="I2">
        <v>0.50944</v>
      </c>
      <c r="J2">
        <v>0.88737999999999995</v>
      </c>
      <c r="K2">
        <v>0.50016000000000005</v>
      </c>
      <c r="L2">
        <v>0</v>
      </c>
      <c r="M2">
        <v>0.17204</v>
      </c>
    </row>
    <row r="3" spans="1:13">
      <c r="A3">
        <v>287</v>
      </c>
      <c r="B3" t="s">
        <v>453</v>
      </c>
      <c r="C3" t="b">
        <v>1</v>
      </c>
      <c r="D3">
        <v>13087.675319882301</v>
      </c>
      <c r="E3">
        <v>756399.18669099</v>
      </c>
      <c r="F3">
        <v>607486.33484040701</v>
      </c>
      <c r="G3">
        <v>913520.74254156696</v>
      </c>
      <c r="H3">
        <v>574549.52063800197</v>
      </c>
      <c r="I3">
        <v>0.54059999999999997</v>
      </c>
      <c r="J3">
        <v>0.87412000000000001</v>
      </c>
      <c r="K3">
        <v>0.52636000000000005</v>
      </c>
      <c r="L3">
        <v>0</v>
      </c>
      <c r="M3">
        <v>0.15670000000000001</v>
      </c>
    </row>
    <row r="4" spans="1:13">
      <c r="A4">
        <v>286</v>
      </c>
      <c r="B4" t="s">
        <v>453</v>
      </c>
      <c r="C4" t="b">
        <v>1</v>
      </c>
      <c r="D4">
        <v>13143.280662360799</v>
      </c>
      <c r="E4">
        <v>750250.85763750703</v>
      </c>
      <c r="F4">
        <v>601295.79898221896</v>
      </c>
      <c r="G4">
        <v>907569.10191047296</v>
      </c>
      <c r="H4">
        <v>568440.04779607896</v>
      </c>
      <c r="I4">
        <v>0.57403999999999999</v>
      </c>
      <c r="J4">
        <v>0.85860000000000003</v>
      </c>
      <c r="K4">
        <v>0.55256000000000005</v>
      </c>
      <c r="L4">
        <v>0</v>
      </c>
      <c r="M4">
        <v>0.14252000000000001</v>
      </c>
    </row>
    <row r="5" spans="1:13">
      <c r="A5">
        <v>285</v>
      </c>
      <c r="B5" t="s">
        <v>453</v>
      </c>
      <c r="C5" t="b">
        <v>1</v>
      </c>
      <c r="D5">
        <v>13199.327773471399</v>
      </c>
      <c r="E5">
        <v>744047.10449988104</v>
      </c>
      <c r="F5">
        <v>595043.37900991598</v>
      </c>
      <c r="G5">
        <v>901290.976226183</v>
      </c>
      <c r="H5">
        <v>562258.524019273</v>
      </c>
      <c r="I5">
        <v>0.60658000000000001</v>
      </c>
      <c r="J5">
        <v>0.84319999999999995</v>
      </c>
      <c r="K5">
        <v>0.57655999999999996</v>
      </c>
      <c r="L5">
        <v>0</v>
      </c>
      <c r="M5">
        <v>0.1295</v>
      </c>
    </row>
    <row r="6" spans="1:13">
      <c r="A6">
        <v>284</v>
      </c>
      <c r="B6" t="s">
        <v>453</v>
      </c>
      <c r="C6" t="b">
        <v>1</v>
      </c>
      <c r="D6">
        <v>13255.821769812301</v>
      </c>
      <c r="E6">
        <v>737787.24903945695</v>
      </c>
      <c r="F6">
        <v>588684.65714535106</v>
      </c>
      <c r="G6">
        <v>894962.59563466604</v>
      </c>
      <c r="H6">
        <v>556002.98643048399</v>
      </c>
      <c r="I6">
        <v>0.63805999999999996</v>
      </c>
      <c r="J6">
        <v>0.8266</v>
      </c>
      <c r="K6">
        <v>0.59665999999999997</v>
      </c>
      <c r="L6">
        <v>0</v>
      </c>
      <c r="M6">
        <v>0.11644</v>
      </c>
    </row>
    <row r="7" spans="1:13">
      <c r="A7">
        <v>283</v>
      </c>
      <c r="B7" t="s">
        <v>453</v>
      </c>
      <c r="C7" t="b">
        <v>1</v>
      </c>
      <c r="D7">
        <v>13312.7678458269</v>
      </c>
      <c r="E7">
        <v>731470.60237246403</v>
      </c>
      <c r="F7">
        <v>582505.74203847605</v>
      </c>
      <c r="G7">
        <v>888636.560868592</v>
      </c>
      <c r="H7">
        <v>549672.90594878199</v>
      </c>
      <c r="I7">
        <v>0.67001999999999995</v>
      </c>
      <c r="J7">
        <v>0.80740000000000001</v>
      </c>
      <c r="K7">
        <v>0.61397999999999997</v>
      </c>
      <c r="L7">
        <v>0</v>
      </c>
      <c r="M7">
        <v>0.10435999999999999</v>
      </c>
    </row>
    <row r="8" spans="1:13">
      <c r="A8">
        <v>282</v>
      </c>
      <c r="B8" t="s">
        <v>453</v>
      </c>
      <c r="C8" t="b">
        <v>1</v>
      </c>
      <c r="D8">
        <v>13370.1712752723</v>
      </c>
      <c r="E8">
        <v>725096.46476518898</v>
      </c>
      <c r="F8">
        <v>576184.40930505702</v>
      </c>
      <c r="G8">
        <v>882163.75953318505</v>
      </c>
      <c r="H8">
        <v>543265.89337747497</v>
      </c>
      <c r="I8">
        <v>0.69957999999999998</v>
      </c>
      <c r="J8">
        <v>0.78686</v>
      </c>
      <c r="K8">
        <v>0.62587999999999999</v>
      </c>
      <c r="L8">
        <v>0</v>
      </c>
      <c r="M8">
        <v>9.2939999999999995E-2</v>
      </c>
    </row>
    <row r="9" spans="1:13">
      <c r="A9">
        <v>281</v>
      </c>
      <c r="B9" t="s">
        <v>453</v>
      </c>
      <c r="C9" t="b">
        <v>1</v>
      </c>
      <c r="D9">
        <v>13428.037412719699</v>
      </c>
      <c r="E9">
        <v>718664.12542449497</v>
      </c>
      <c r="F9">
        <v>569693.04545294505</v>
      </c>
      <c r="G9">
        <v>875791.985960969</v>
      </c>
      <c r="H9">
        <v>536781.47556304198</v>
      </c>
      <c r="I9">
        <v>0.72821999999999998</v>
      </c>
      <c r="J9">
        <v>0.76617999999999997</v>
      </c>
      <c r="K9">
        <v>0.63466</v>
      </c>
      <c r="L9">
        <v>0</v>
      </c>
      <c r="M9">
        <v>8.2280000000000006E-2</v>
      </c>
    </row>
    <row r="10" spans="1:13" s="17" customFormat="1">
      <c r="A10" s="17">
        <v>280</v>
      </c>
      <c r="B10" s="17" t="s">
        <v>452</v>
      </c>
      <c r="C10" s="17" t="b">
        <v>1</v>
      </c>
      <c r="D10" s="17">
        <v>13486.3716950899</v>
      </c>
      <c r="E10" s="17">
        <v>712172.86228351702</v>
      </c>
      <c r="F10" s="17">
        <v>563062.72430185997</v>
      </c>
      <c r="G10" s="17">
        <v>869430.89411878097</v>
      </c>
      <c r="H10" s="17">
        <v>530220.23508367804</v>
      </c>
      <c r="I10" s="17">
        <v>0.75522</v>
      </c>
      <c r="J10" s="17">
        <v>0.74263999999999997</v>
      </c>
      <c r="K10" s="17">
        <v>0.63619999999999999</v>
      </c>
      <c r="L10" s="17">
        <v>0</v>
      </c>
      <c r="M10" s="17">
        <v>7.2760000000000005E-2</v>
      </c>
    </row>
    <row r="11" spans="1:13">
      <c r="A11">
        <v>279</v>
      </c>
      <c r="B11" t="s">
        <v>452</v>
      </c>
      <c r="C11" t="b">
        <v>1</v>
      </c>
      <c r="D11">
        <v>13545.1796432222</v>
      </c>
      <c r="E11">
        <v>705621.94178244495</v>
      </c>
      <c r="F11">
        <v>556412.66201846802</v>
      </c>
      <c r="G11">
        <v>863227.93591381598</v>
      </c>
      <c r="H11">
        <v>523584.512802249</v>
      </c>
      <c r="I11">
        <v>0.78181999999999996</v>
      </c>
      <c r="J11">
        <v>0.71923999999999999</v>
      </c>
      <c r="K11">
        <v>0.63515999999999995</v>
      </c>
      <c r="L11">
        <v>0</v>
      </c>
      <c r="M11">
        <v>6.4320000000000002E-2</v>
      </c>
    </row>
    <row r="12" spans="1:13">
      <c r="A12">
        <v>278</v>
      </c>
      <c r="B12" t="s">
        <v>452</v>
      </c>
      <c r="C12" t="b">
        <v>1</v>
      </c>
      <c r="D12">
        <v>13604.4668634806</v>
      </c>
      <c r="E12">
        <v>699010.618644236</v>
      </c>
      <c r="F12">
        <v>549571.05788253702</v>
      </c>
      <c r="G12">
        <v>856664.31618008798</v>
      </c>
      <c r="H12">
        <v>516871.838651161</v>
      </c>
      <c r="I12">
        <v>0.80537999999999998</v>
      </c>
      <c r="J12">
        <v>0.69303999999999999</v>
      </c>
      <c r="K12">
        <v>0.627</v>
      </c>
      <c r="L12">
        <v>0</v>
      </c>
      <c r="M12">
        <v>5.6820000000000002E-2</v>
      </c>
    </row>
    <row r="13" spans="1:13">
      <c r="A13">
        <v>277</v>
      </c>
      <c r="B13" t="s">
        <v>452</v>
      </c>
      <c r="C13" t="b">
        <v>1</v>
      </c>
      <c r="D13">
        <v>13664.238779625401</v>
      </c>
      <c r="E13">
        <v>692338.11405230197</v>
      </c>
      <c r="F13">
        <v>542830.68833257596</v>
      </c>
      <c r="G13">
        <v>849921.97249608499</v>
      </c>
      <c r="H13">
        <v>510086.02285037801</v>
      </c>
      <c r="I13">
        <v>0.82762000000000002</v>
      </c>
      <c r="J13">
        <v>0.66624000000000005</v>
      </c>
      <c r="K13">
        <v>0.61529999999999996</v>
      </c>
      <c r="L13" s="60">
        <v>2.0000000000000002E-5</v>
      </c>
      <c r="M13">
        <v>0.05</v>
      </c>
    </row>
    <row r="14" spans="1:13">
      <c r="A14">
        <v>276</v>
      </c>
      <c r="B14" t="s">
        <v>452</v>
      </c>
      <c r="C14" t="b">
        <v>1</v>
      </c>
      <c r="D14">
        <v>13724.500238909201</v>
      </c>
      <c r="E14">
        <v>685603.58524776797</v>
      </c>
      <c r="F14">
        <v>536197.72422118299</v>
      </c>
      <c r="G14">
        <v>843395.02425214497</v>
      </c>
      <c r="H14">
        <v>503228.82243933901</v>
      </c>
      <c r="I14">
        <v>0.84902</v>
      </c>
      <c r="J14">
        <v>0.63841999999999999</v>
      </c>
      <c r="K14">
        <v>0.60040000000000004</v>
      </c>
      <c r="L14" s="60">
        <v>2.0000000000000002E-5</v>
      </c>
      <c r="M14">
        <v>4.3880000000000002E-2</v>
      </c>
    </row>
    <row r="15" spans="1:13">
      <c r="A15">
        <v>275</v>
      </c>
      <c r="B15" t="s">
        <v>452</v>
      </c>
      <c r="C15" t="b">
        <v>1</v>
      </c>
      <c r="D15">
        <v>13785.2583073886</v>
      </c>
      <c r="E15">
        <v>678806.346955391</v>
      </c>
      <c r="F15">
        <v>529351.78163488803</v>
      </c>
      <c r="G15">
        <v>836930.54896696995</v>
      </c>
      <c r="H15">
        <v>496293.06787682802</v>
      </c>
      <c r="I15">
        <v>0.86721999999999999</v>
      </c>
      <c r="J15">
        <v>0.61114000000000002</v>
      </c>
      <c r="K15">
        <v>0.58284000000000002</v>
      </c>
      <c r="L15" s="60">
        <v>2.0000000000000002E-5</v>
      </c>
      <c r="M15">
        <v>3.8059999999999997E-2</v>
      </c>
    </row>
    <row r="16" spans="1:13">
      <c r="A16">
        <v>274</v>
      </c>
      <c r="B16" t="s">
        <v>452</v>
      </c>
      <c r="C16" t="b">
        <v>1</v>
      </c>
      <c r="D16">
        <v>13846.518500353501</v>
      </c>
      <c r="E16">
        <v>671945.57028902904</v>
      </c>
      <c r="F16">
        <v>522270.73184730002</v>
      </c>
      <c r="G16">
        <v>830257.83346112096</v>
      </c>
      <c r="H16">
        <v>489277.32573979301</v>
      </c>
      <c r="I16">
        <v>0.88500000000000001</v>
      </c>
      <c r="J16">
        <v>0.58252000000000004</v>
      </c>
      <c r="K16">
        <v>0.56308000000000002</v>
      </c>
      <c r="L16" s="60">
        <v>4.0000000000000003E-5</v>
      </c>
      <c r="M16">
        <v>3.304E-2</v>
      </c>
    </row>
    <row r="17" spans="1:13">
      <c r="A17">
        <v>273</v>
      </c>
      <c r="B17" t="s">
        <v>452</v>
      </c>
      <c r="C17" t="b">
        <v>1</v>
      </c>
      <c r="D17">
        <v>13908.286051000499</v>
      </c>
      <c r="E17">
        <v>665020.38652922504</v>
      </c>
      <c r="F17">
        <v>515259.16541126103</v>
      </c>
      <c r="G17">
        <v>823617.760402065</v>
      </c>
      <c r="H17">
        <v>482186.17894582899</v>
      </c>
      <c r="I17">
        <v>0.90068000000000004</v>
      </c>
      <c r="J17">
        <v>0.55344000000000004</v>
      </c>
      <c r="K17">
        <v>0.54013999999999995</v>
      </c>
      <c r="L17" s="60">
        <v>4.0000000000000003E-5</v>
      </c>
      <c r="M17">
        <v>2.818E-2</v>
      </c>
    </row>
    <row r="18" spans="1:13">
      <c r="A18">
        <v>272</v>
      </c>
      <c r="B18" t="s">
        <v>452</v>
      </c>
      <c r="C18" t="b">
        <v>1</v>
      </c>
      <c r="D18">
        <v>13970.566831584099</v>
      </c>
      <c r="E18">
        <v>658029.95224222098</v>
      </c>
      <c r="F18">
        <v>508198.85297584598</v>
      </c>
      <c r="G18">
        <v>816678.06457324396</v>
      </c>
      <c r="H18">
        <v>475011.76069864299</v>
      </c>
      <c r="I18">
        <v>0.91444000000000003</v>
      </c>
      <c r="J18">
        <v>0.52537999999999996</v>
      </c>
      <c r="K18">
        <v>0.51663999999999999</v>
      </c>
      <c r="L18" s="60">
        <v>8.0000000000000007E-5</v>
      </c>
      <c r="M18">
        <v>2.402E-2</v>
      </c>
    </row>
    <row r="19" spans="1:13">
      <c r="A19">
        <v>271</v>
      </c>
      <c r="B19" t="s">
        <v>452</v>
      </c>
      <c r="C19" t="b">
        <v>1</v>
      </c>
      <c r="D19">
        <v>14033.3649157032</v>
      </c>
      <c r="E19">
        <v>650973.263812021</v>
      </c>
      <c r="F19">
        <v>500869.81005630502</v>
      </c>
      <c r="G19">
        <v>809641.02772077394</v>
      </c>
      <c r="H19">
        <v>467757.68495365401</v>
      </c>
      <c r="I19">
        <v>0.92715999999999998</v>
      </c>
      <c r="J19">
        <v>0.49425999999999998</v>
      </c>
      <c r="K19">
        <v>0.48862</v>
      </c>
      <c r="L19">
        <v>1.3999999999999999E-4</v>
      </c>
      <c r="M19">
        <v>2.0400000000000001E-2</v>
      </c>
    </row>
    <row r="20" spans="1:13">
      <c r="A20">
        <v>270</v>
      </c>
      <c r="B20" t="s">
        <v>452</v>
      </c>
      <c r="C20" t="b">
        <v>1</v>
      </c>
      <c r="D20">
        <v>14096.684113223</v>
      </c>
      <c r="E20">
        <v>643849.28896817996</v>
      </c>
      <c r="F20">
        <v>493578.58600508701</v>
      </c>
      <c r="G20">
        <v>802865.59837284195</v>
      </c>
      <c r="H20">
        <v>460424.53476814</v>
      </c>
      <c r="I20">
        <v>0.93811999999999995</v>
      </c>
      <c r="J20">
        <v>0.46517999999999998</v>
      </c>
      <c r="K20">
        <v>0.46163999999999999</v>
      </c>
      <c r="L20">
        <v>2.2000000000000001E-4</v>
      </c>
      <c r="M20">
        <v>1.7000000000000001E-2</v>
      </c>
    </row>
    <row r="21" spans="1:13">
      <c r="A21">
        <v>269</v>
      </c>
      <c r="B21" t="s">
        <v>452</v>
      </c>
      <c r="C21" t="b">
        <v>1</v>
      </c>
      <c r="D21">
        <v>14160.5331213521</v>
      </c>
      <c r="E21">
        <v>636657.37057997903</v>
      </c>
      <c r="F21">
        <v>486183.21607618401</v>
      </c>
      <c r="G21">
        <v>795920.72782437003</v>
      </c>
      <c r="H21">
        <v>453012.06921406498</v>
      </c>
      <c r="I21">
        <v>0.94769999999999999</v>
      </c>
      <c r="J21">
        <v>0.43653999999999998</v>
      </c>
      <c r="K21">
        <v>0.43425999999999998</v>
      </c>
      <c r="L21">
        <v>2.4000000000000001E-4</v>
      </c>
      <c r="M21">
        <v>1.438E-2</v>
      </c>
    </row>
    <row r="22" spans="1:13">
      <c r="A22">
        <v>268</v>
      </c>
      <c r="B22" t="s">
        <v>452</v>
      </c>
      <c r="C22" t="b">
        <v>1</v>
      </c>
      <c r="D22">
        <v>14224.9198370165</v>
      </c>
      <c r="E22">
        <v>629396.72491514299</v>
      </c>
      <c r="F22">
        <v>478692.10351196799</v>
      </c>
      <c r="G22">
        <v>788835.50720845105</v>
      </c>
      <c r="H22">
        <v>445515.32634266297</v>
      </c>
      <c r="I22">
        <v>0.95611999999999997</v>
      </c>
      <c r="J22">
        <v>0.40595999999999999</v>
      </c>
      <c r="K22">
        <v>0.40473999999999999</v>
      </c>
      <c r="L22">
        <v>2.9999999999999997E-4</v>
      </c>
      <c r="M22">
        <v>1.176E-2</v>
      </c>
    </row>
    <row r="23" spans="1:13">
      <c r="A23">
        <v>267</v>
      </c>
      <c r="B23" t="s">
        <v>452</v>
      </c>
      <c r="C23" t="b">
        <v>1</v>
      </c>
      <c r="D23">
        <v>14289.846142328301</v>
      </c>
      <c r="E23">
        <v>622066.14741057297</v>
      </c>
      <c r="F23">
        <v>471357.75513393601</v>
      </c>
      <c r="G23">
        <v>781616.22528496501</v>
      </c>
      <c r="H23">
        <v>437936.35375636403</v>
      </c>
      <c r="I23">
        <v>0.96419999999999995</v>
      </c>
      <c r="J23">
        <v>0.37647999999999998</v>
      </c>
      <c r="K23">
        <v>0.37584000000000001</v>
      </c>
      <c r="L23">
        <v>3.6000000000000002E-4</v>
      </c>
      <c r="M23">
        <v>9.6799999999999994E-3</v>
      </c>
    </row>
    <row r="24" spans="1:13">
      <c r="A24">
        <v>266</v>
      </c>
      <c r="B24" t="s">
        <v>452</v>
      </c>
      <c r="C24" t="b">
        <v>1</v>
      </c>
      <c r="D24">
        <v>14355.314957282801</v>
      </c>
      <c r="E24">
        <v>614664.42616905901</v>
      </c>
      <c r="F24">
        <v>463588.48081044602</v>
      </c>
      <c r="G24">
        <v>774326.55666913895</v>
      </c>
      <c r="H24">
        <v>430275.474102985</v>
      </c>
      <c r="I24">
        <v>0.97016000000000002</v>
      </c>
      <c r="J24">
        <v>0.34658</v>
      </c>
      <c r="K24">
        <v>0.34627999999999998</v>
      </c>
      <c r="L24">
        <v>5.5999999999999995E-4</v>
      </c>
      <c r="M24">
        <v>8.0000000000000002E-3</v>
      </c>
    </row>
    <row r="25" spans="1:13">
      <c r="A25">
        <v>265</v>
      </c>
      <c r="B25" t="s">
        <v>452</v>
      </c>
      <c r="C25" t="b">
        <v>1</v>
      </c>
      <c r="D25">
        <v>14421.322756080801</v>
      </c>
      <c r="E25">
        <v>607189.89422850695</v>
      </c>
      <c r="F25">
        <v>455903.61368996999</v>
      </c>
      <c r="G25">
        <v>766992.64450005395</v>
      </c>
      <c r="H25">
        <v>422529.24575609301</v>
      </c>
      <c r="I25">
        <v>0.97521999999999998</v>
      </c>
      <c r="J25">
        <v>0.31906000000000001</v>
      </c>
      <c r="K25">
        <v>0.31890000000000002</v>
      </c>
      <c r="L25">
        <v>8.0000000000000004E-4</v>
      </c>
      <c r="M25">
        <v>6.7000000000000002E-3</v>
      </c>
    </row>
  </sheetData>
  <sortState xmlns:xlrd2="http://schemas.microsoft.com/office/spreadsheetml/2017/richdata2" ref="A2:M25">
    <sortCondition descending="1" ref="E1:E2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>
      <selection sqref="A1:F1"/>
    </sheetView>
  </sheetViews>
  <sheetFormatPr defaultRowHeight="13.8"/>
  <cols>
    <col min="1" max="1" width="24" customWidth="1"/>
    <col min="2" max="2" width="48" customWidth="1"/>
    <col min="3" max="3" width="40" customWidth="1"/>
    <col min="4" max="4" width="42" customWidth="1"/>
    <col min="5" max="5" width="18" customWidth="1"/>
    <col min="6" max="6" width="45" customWidth="1"/>
  </cols>
  <sheetData>
    <row r="1" spans="1:6" ht="22.35" customHeight="1">
      <c r="A1" s="61" t="s">
        <v>136</v>
      </c>
      <c r="B1" s="62"/>
      <c r="C1" s="62"/>
      <c r="D1" s="62"/>
      <c r="E1" s="62"/>
      <c r="F1" s="62"/>
    </row>
    <row r="3" spans="1:6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  <c r="F3" s="3" t="s">
        <v>135</v>
      </c>
    </row>
    <row r="4" spans="1:6" ht="27.6">
      <c r="A4" s="1" t="s">
        <v>142</v>
      </c>
      <c r="B4" s="2" t="s">
        <v>143</v>
      </c>
      <c r="C4" s="2" t="s">
        <v>144</v>
      </c>
      <c r="D4" s="2" t="s">
        <v>145</v>
      </c>
      <c r="E4" s="2" t="s">
        <v>75</v>
      </c>
      <c r="F4" s="2" t="s">
        <v>146</v>
      </c>
    </row>
    <row r="5" spans="1:6" ht="27.6">
      <c r="A5" s="1" t="s">
        <v>147</v>
      </c>
      <c r="B5" s="2" t="s">
        <v>148</v>
      </c>
      <c r="C5" s="2" t="s">
        <v>149</v>
      </c>
      <c r="D5" s="2" t="s">
        <v>150</v>
      </c>
      <c r="E5" s="2" t="s">
        <v>77</v>
      </c>
      <c r="F5" s="2" t="s">
        <v>151</v>
      </c>
    </row>
    <row r="6" spans="1:6">
      <c r="A6" s="1" t="s">
        <v>152</v>
      </c>
      <c r="B6" s="2" t="s">
        <v>153</v>
      </c>
      <c r="C6" s="2" t="s">
        <v>86</v>
      </c>
      <c r="D6" s="2" t="s">
        <v>154</v>
      </c>
      <c r="E6" s="2" t="s">
        <v>77</v>
      </c>
      <c r="F6" s="2" t="s">
        <v>155</v>
      </c>
    </row>
    <row r="7" spans="1:6" ht="27.6">
      <c r="A7" s="1" t="s">
        <v>156</v>
      </c>
      <c r="B7" s="2" t="s">
        <v>157</v>
      </c>
      <c r="C7" s="2" t="s">
        <v>158</v>
      </c>
      <c r="D7" s="2" t="s">
        <v>117</v>
      </c>
      <c r="E7" s="2" t="s">
        <v>75</v>
      </c>
      <c r="F7" s="2" t="s">
        <v>159</v>
      </c>
    </row>
    <row r="8" spans="1:6" ht="27.6">
      <c r="A8" s="1" t="s">
        <v>87</v>
      </c>
      <c r="B8" s="2" t="s">
        <v>160</v>
      </c>
      <c r="C8" s="2" t="s">
        <v>161</v>
      </c>
      <c r="D8" s="2" t="s">
        <v>162</v>
      </c>
      <c r="E8" s="2" t="s">
        <v>77</v>
      </c>
      <c r="F8" s="2" t="s">
        <v>163</v>
      </c>
    </row>
    <row r="9" spans="1:6" ht="27.6">
      <c r="A9" s="1" t="s">
        <v>164</v>
      </c>
      <c r="B9" s="2" t="s">
        <v>165</v>
      </c>
      <c r="C9" s="2" t="s">
        <v>166</v>
      </c>
      <c r="D9" s="2" t="s">
        <v>167</v>
      </c>
      <c r="E9" s="2" t="s">
        <v>168</v>
      </c>
      <c r="F9" s="2" t="s">
        <v>169</v>
      </c>
    </row>
    <row r="10" spans="1:6" ht="27.6">
      <c r="A10" s="1" t="s">
        <v>170</v>
      </c>
      <c r="B10" s="2" t="s">
        <v>171</v>
      </c>
      <c r="C10" s="2" t="s">
        <v>172</v>
      </c>
      <c r="D10" s="2" t="s">
        <v>173</v>
      </c>
      <c r="E10" s="2" t="s">
        <v>73</v>
      </c>
      <c r="F10" s="2" t="s">
        <v>174</v>
      </c>
    </row>
    <row r="11" spans="1:6">
      <c r="A11" s="1" t="s">
        <v>130</v>
      </c>
      <c r="B11" s="2" t="s">
        <v>175</v>
      </c>
      <c r="C11" s="2" t="s">
        <v>176</v>
      </c>
      <c r="D11" s="2" t="s">
        <v>177</v>
      </c>
      <c r="E11" s="2" t="s">
        <v>73</v>
      </c>
      <c r="F11" s="2" t="s">
        <v>178</v>
      </c>
    </row>
    <row r="12" spans="1:6">
      <c r="A12" s="1" t="s">
        <v>131</v>
      </c>
      <c r="B12" s="2" t="s">
        <v>179</v>
      </c>
      <c r="C12" s="2" t="s">
        <v>172</v>
      </c>
      <c r="D12" s="2" t="s">
        <v>177</v>
      </c>
      <c r="E12" s="2" t="s">
        <v>73</v>
      </c>
      <c r="F12" s="2" t="s">
        <v>180</v>
      </c>
    </row>
    <row r="13" spans="1:6" ht="27.6">
      <c r="A13" s="1" t="s">
        <v>181</v>
      </c>
      <c r="B13" s="2" t="s">
        <v>182</v>
      </c>
      <c r="C13" s="2" t="s">
        <v>183</v>
      </c>
      <c r="D13" s="2" t="s">
        <v>184</v>
      </c>
      <c r="E13" s="2" t="s">
        <v>134</v>
      </c>
      <c r="F13" s="2" t="s">
        <v>185</v>
      </c>
    </row>
    <row r="14" spans="1:6" ht="27.6">
      <c r="A14" s="1" t="s">
        <v>186</v>
      </c>
      <c r="B14" s="2" t="s">
        <v>187</v>
      </c>
      <c r="C14" s="2" t="s">
        <v>188</v>
      </c>
      <c r="D14" s="2" t="s">
        <v>189</v>
      </c>
      <c r="E14" s="2" t="s">
        <v>190</v>
      </c>
      <c r="F14" s="2" t="s">
        <v>191</v>
      </c>
    </row>
    <row r="15" spans="1:6" ht="27.6">
      <c r="A15" s="1" t="s">
        <v>192</v>
      </c>
      <c r="B15" s="2" t="s">
        <v>193</v>
      </c>
      <c r="C15" s="2" t="s">
        <v>194</v>
      </c>
      <c r="D15" s="2" t="s">
        <v>195</v>
      </c>
      <c r="E15" s="2" t="s">
        <v>196</v>
      </c>
      <c r="F15" s="2" t="s">
        <v>197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>
      <selection activeCell="D7" sqref="D7"/>
    </sheetView>
  </sheetViews>
  <sheetFormatPr defaultRowHeight="13.8"/>
  <cols>
    <col min="1" max="1" width="24" customWidth="1"/>
    <col min="2" max="2" width="32" customWidth="1"/>
    <col min="3" max="3" width="38" customWidth="1"/>
    <col min="4" max="4" width="34" customWidth="1"/>
    <col min="5" max="5" width="12" customWidth="1"/>
    <col min="6" max="6" width="22" customWidth="1"/>
    <col min="7" max="7" width="18" customWidth="1"/>
    <col min="8" max="8" width="22" customWidth="1"/>
  </cols>
  <sheetData>
    <row r="1" spans="1:8" ht="22.35" customHeight="1">
      <c r="A1" s="61" t="s">
        <v>198</v>
      </c>
      <c r="B1" s="62"/>
      <c r="C1" s="62"/>
      <c r="D1" s="62"/>
      <c r="E1" s="62"/>
      <c r="F1" s="62"/>
      <c r="G1" s="62"/>
      <c r="H1" s="62"/>
    </row>
    <row r="3" spans="1:8">
      <c r="A3" s="3" t="s">
        <v>110</v>
      </c>
      <c r="B3" s="3" t="s">
        <v>199</v>
      </c>
      <c r="C3" s="3" t="s">
        <v>110</v>
      </c>
      <c r="D3" s="3" t="s">
        <v>199</v>
      </c>
      <c r="E3" s="3" t="s">
        <v>110</v>
      </c>
      <c r="F3" s="3" t="s">
        <v>199</v>
      </c>
      <c r="G3" s="3" t="s">
        <v>110</v>
      </c>
      <c r="H3" s="3" t="s">
        <v>199</v>
      </c>
    </row>
    <row r="4" spans="1:8" ht="27.6">
      <c r="A4" s="1" t="s">
        <v>200</v>
      </c>
      <c r="B4" s="2" t="str">
        <f>Company_Context!B5</f>
        <v>bishanlal babulal</v>
      </c>
      <c r="C4" s="1" t="s">
        <v>201</v>
      </c>
      <c r="D4" s="2" t="str">
        <f>Company_Context!B7</f>
        <v>1kg bikaneri bhujia</v>
      </c>
      <c r="E4" s="1" t="s">
        <v>202</v>
      </c>
      <c r="F4" s="2" t="str">
        <f>Company_Context!B11</f>
        <v>rajasthan particulary bikaner</v>
      </c>
      <c r="G4" s="1" t="s">
        <v>203</v>
      </c>
      <c r="H4" s="2" t="e">
        <f>#REF!</f>
        <v>#REF!</v>
      </c>
    </row>
    <row r="5" spans="1:8" ht="27.6">
      <c r="A5" s="1" t="s">
        <v>55</v>
      </c>
      <c r="B5" s="6">
        <f>Company_Context!B16</f>
        <v>267</v>
      </c>
      <c r="C5" s="1" t="s">
        <v>204</v>
      </c>
      <c r="D5" s="2">
        <f>Company_Context!B17</f>
        <v>5</v>
      </c>
      <c r="E5" s="1" t="s">
        <v>205</v>
      </c>
      <c r="F5" s="6">
        <f>Company_Context!B22</f>
        <v>280.35000000000002</v>
      </c>
      <c r="G5" s="1" t="s">
        <v>206</v>
      </c>
      <c r="H5" s="2" t="str">
        <f>Company_Context!F6</f>
        <v>bikaji</v>
      </c>
    </row>
    <row r="6" spans="1:8" ht="27.6">
      <c r="A6" s="1" t="s">
        <v>114</v>
      </c>
      <c r="B6" s="6">
        <f>Cost_Structure!C18</f>
        <v>180.7</v>
      </c>
      <c r="C6" s="1" t="s">
        <v>117</v>
      </c>
      <c r="D6" s="2">
        <f>Cost_Structure!C30</f>
        <v>448000</v>
      </c>
      <c r="E6" s="1" t="s">
        <v>207</v>
      </c>
      <c r="F6" s="6">
        <f>Cost_Structure!B6</f>
        <v>15000</v>
      </c>
      <c r="G6" s="1" t="s">
        <v>128</v>
      </c>
      <c r="H6" s="11">
        <f>Cost_Structure!B41</f>
        <v>56.433333333333337</v>
      </c>
    </row>
    <row r="7" spans="1:8" ht="41.4">
      <c r="A7" s="1" t="s">
        <v>208</v>
      </c>
      <c r="B7" s="6">
        <f>Cost_Structure!B39</f>
        <v>210.56666666666666</v>
      </c>
      <c r="C7" s="1" t="s">
        <v>209</v>
      </c>
      <c r="D7" s="6">
        <f>Cost_Structure!B40</f>
        <v>86.300000000000011</v>
      </c>
      <c r="E7" s="1" t="s">
        <v>210</v>
      </c>
      <c r="F7" s="8" t="e">
        <f>#REF!</f>
        <v>#REF!</v>
      </c>
      <c r="G7" s="1" t="s">
        <v>211</v>
      </c>
      <c r="H7" s="9" t="e">
        <f>#REF!</f>
        <v>#REF!</v>
      </c>
    </row>
    <row r="8" spans="1:8" ht="27.6">
      <c r="A8" s="1" t="s">
        <v>212</v>
      </c>
      <c r="B8" s="6" t="e">
        <f>#REF!</f>
        <v>#REF!</v>
      </c>
      <c r="C8" s="1" t="s">
        <v>213</v>
      </c>
      <c r="D8" s="6" t="e">
        <f>#REF!</f>
        <v>#REF!</v>
      </c>
      <c r="E8" s="1" t="s">
        <v>132</v>
      </c>
      <c r="F8" s="8" t="e">
        <f>#REF!</f>
        <v>#REF!</v>
      </c>
      <c r="G8" s="1" t="s">
        <v>214</v>
      </c>
      <c r="H8" s="10" t="e">
        <f>#REF!</f>
        <v>#REF!</v>
      </c>
    </row>
    <row r="11" spans="1:8" ht="17.55" customHeight="1">
      <c r="A11" s="66" t="s">
        <v>215</v>
      </c>
      <c r="B11" s="62"/>
      <c r="C11" s="62"/>
      <c r="D11" s="62"/>
      <c r="E11" s="62"/>
      <c r="F11" s="62"/>
      <c r="G11" s="62"/>
      <c r="H11" s="62"/>
    </row>
    <row r="12" spans="1:8">
      <c r="A12" s="3" t="s">
        <v>216</v>
      </c>
      <c r="B12" s="3" t="s">
        <v>217</v>
      </c>
      <c r="C12" s="3" t="s">
        <v>218</v>
      </c>
      <c r="D12" s="3" t="s">
        <v>5</v>
      </c>
    </row>
    <row r="13" spans="1:8">
      <c r="A13" s="2" t="s">
        <v>219</v>
      </c>
      <c r="B13" s="2" t="s">
        <v>220</v>
      </c>
      <c r="C13" s="2" t="s">
        <v>221</v>
      </c>
      <c r="D13" s="2" t="s">
        <v>222</v>
      </c>
    </row>
    <row r="14" spans="1:8">
      <c r="A14" s="2" t="s">
        <v>223</v>
      </c>
      <c r="B14" s="2" t="s">
        <v>224</v>
      </c>
      <c r="C14" s="2" t="s">
        <v>225</v>
      </c>
      <c r="D14" s="2" t="s">
        <v>226</v>
      </c>
    </row>
    <row r="15" spans="1:8">
      <c r="A15" s="2" t="s">
        <v>227</v>
      </c>
      <c r="B15" s="2" t="s">
        <v>228</v>
      </c>
      <c r="C15" s="2" t="s">
        <v>229</v>
      </c>
      <c r="D15" s="2" t="s">
        <v>230</v>
      </c>
    </row>
    <row r="16" spans="1:8">
      <c r="A16" s="2" t="s">
        <v>231</v>
      </c>
      <c r="B16" s="2" t="s">
        <v>232</v>
      </c>
      <c r="C16" s="2" t="s">
        <v>233</v>
      </c>
      <c r="D16" s="2" t="s">
        <v>234</v>
      </c>
    </row>
    <row r="17" spans="1:4">
      <c r="A17" s="2" t="s">
        <v>235</v>
      </c>
      <c r="B17" s="2" t="s">
        <v>236</v>
      </c>
      <c r="C17" s="2" t="s">
        <v>237</v>
      </c>
      <c r="D17" s="2" t="s">
        <v>238</v>
      </c>
    </row>
    <row r="18" spans="1:4">
      <c r="A18" s="2" t="s">
        <v>239</v>
      </c>
      <c r="B18" s="2" t="s">
        <v>240</v>
      </c>
      <c r="C18" s="2" t="s">
        <v>241</v>
      </c>
      <c r="D18" s="2" t="s">
        <v>242</v>
      </c>
    </row>
  </sheetData>
  <mergeCells count="2">
    <mergeCell ref="A1:H1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Start_Here</vt:lpstr>
      <vt:lpstr>Company_Context</vt:lpstr>
      <vt:lpstr>Cost_Structure</vt:lpstr>
      <vt:lpstr>competitive_analysis</vt:lpstr>
      <vt:lpstr>constraints</vt:lpstr>
      <vt:lpstr>data_historical</vt:lpstr>
      <vt:lpstr>montecarlo</vt:lpstr>
      <vt:lpstr>Definitions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kochar</dc:creator>
  <cp:lastModifiedBy>dheeraj kochar</cp:lastModifiedBy>
  <dcterms:modified xsi:type="dcterms:W3CDTF">2026-10-08T19:41:49Z</dcterms:modified>
</cp:coreProperties>
</file>